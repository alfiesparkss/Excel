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alfiesparks_bootcamp_justit_co_uk/Documents/"/>
    </mc:Choice>
  </mc:AlternateContent>
  <xr:revisionPtr revIDLastSave="0" documentId="8_{6C4FC9A6-E108-4338-A2D5-39DF4C6988C0}" xr6:coauthVersionLast="47" xr6:coauthVersionMax="47" xr10:uidLastSave="{00000000-0000-0000-0000-000000000000}"/>
  <bookViews>
    <workbookView xWindow="-96" yWindow="0" windowWidth="11712" windowHeight="13056" activeTab="2" xr2:uid="{00000000-000D-0000-FFFF-FFFF00000000}"/>
  </bookViews>
  <sheets>
    <sheet name="Bike Sales (2)" sheetId="2" r:id="rId1"/>
    <sheet name="Product sales pivot table" sheetId="5" r:id="rId2"/>
    <sheet name="Product sales" sheetId="4" r:id="rId3"/>
    <sheet name="Bike Sales" sheetId="1" r:id="rId4"/>
    <sheet name="Sheet1" sheetId="3" r:id="rId5"/>
  </sheets>
  <calcPr calcId="191028"/>
  <pivotCaches>
    <pivotCache cacheId="994" r:id="rId6"/>
    <pivotCache cacheId="105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2" i="4"/>
  <c r="D3" i="4" a="1"/>
  <c r="D3" i="4"/>
  <c r="D4" i="4" a="1"/>
  <c r="D4" i="4"/>
  <c r="D5" i="4" a="1"/>
  <c r="D5" i="4"/>
  <c r="D6" i="4" a="1"/>
  <c r="D6" i="4"/>
  <c r="D7" i="4" a="1"/>
  <c r="D7" i="4"/>
  <c r="D8" i="4" a="1"/>
  <c r="D8" i="4"/>
  <c r="D9" i="4" a="1"/>
  <c r="D9" i="4"/>
  <c r="D10" i="4" a="1"/>
  <c r="D10" i="4"/>
  <c r="D11" i="4" a="1"/>
  <c r="D11" i="4"/>
  <c r="D12" i="4" a="1"/>
  <c r="D12" i="4"/>
  <c r="D13" i="4" a="1"/>
  <c r="D13" i="4"/>
  <c r="V6" i="2" a="1"/>
  <c r="V6" i="2" s="1"/>
  <c r="S16" i="2"/>
  <c r="R16" i="2"/>
  <c r="S89" i="2"/>
  <c r="R89" i="2"/>
  <c r="S72" i="2"/>
  <c r="R72" i="2"/>
  <c r="S55" i="2"/>
  <c r="R55" i="2"/>
  <c r="S54" i="2"/>
  <c r="R54" i="2"/>
  <c r="S71" i="2"/>
  <c r="R71" i="2"/>
  <c r="S70" i="2"/>
  <c r="R70" i="2"/>
  <c r="S86" i="2"/>
  <c r="R86" i="2"/>
  <c r="S23" i="2"/>
  <c r="R23" i="2"/>
  <c r="S20" i="2"/>
  <c r="R20" i="2"/>
  <c r="S79" i="2"/>
  <c r="R79" i="2"/>
  <c r="S19" i="2"/>
  <c r="R19" i="2"/>
  <c r="S53" i="2"/>
  <c r="R53" i="2"/>
  <c r="S52" i="2"/>
  <c r="R52" i="2"/>
  <c r="S76" i="2"/>
  <c r="R76" i="2"/>
  <c r="S15" i="2"/>
  <c r="R15" i="2"/>
  <c r="S3" i="2"/>
  <c r="R3" i="2"/>
  <c r="S51" i="2"/>
  <c r="R51" i="2"/>
  <c r="S35" i="2"/>
  <c r="R35" i="2"/>
  <c r="S80" i="2"/>
  <c r="R80" i="2"/>
  <c r="S14" i="2"/>
  <c r="R14" i="2"/>
  <c r="S13" i="2"/>
  <c r="R13" i="2"/>
  <c r="S12" i="2"/>
  <c r="R12" i="2"/>
  <c r="S2" i="2"/>
  <c r="R2" i="2"/>
  <c r="S11" i="2"/>
  <c r="R11" i="2"/>
  <c r="S75" i="2"/>
  <c r="R75" i="2"/>
  <c r="S7" i="2"/>
  <c r="R7" i="2"/>
  <c r="S50" i="2"/>
  <c r="R50" i="2"/>
  <c r="S69" i="2"/>
  <c r="R69" i="2"/>
  <c r="S22" i="2"/>
  <c r="R22" i="2"/>
  <c r="S57" i="2"/>
  <c r="R57" i="2"/>
  <c r="S18" i="2"/>
  <c r="R18" i="2"/>
  <c r="S6" i="2"/>
  <c r="R6" i="2"/>
  <c r="S74" i="2"/>
  <c r="R74" i="2"/>
  <c r="S49" i="2"/>
  <c r="R49" i="2"/>
  <c r="S84" i="2"/>
  <c r="R84" i="2"/>
  <c r="S27" i="2"/>
  <c r="R27" i="2"/>
  <c r="S48" i="2"/>
  <c r="R48" i="2"/>
  <c r="S34" i="2"/>
  <c r="R34" i="2"/>
  <c r="S33" i="2"/>
  <c r="R33" i="2"/>
  <c r="S47" i="2"/>
  <c r="R47" i="2"/>
  <c r="S83" i="2"/>
  <c r="R83" i="2"/>
  <c r="S68" i="2"/>
  <c r="R68" i="2"/>
  <c r="S26" i="2"/>
  <c r="R26" i="2"/>
  <c r="S67" i="2"/>
  <c r="R67" i="2"/>
  <c r="S66" i="2"/>
  <c r="R66" i="2"/>
  <c r="S85" i="2"/>
  <c r="R85" i="2"/>
  <c r="S17" i="2"/>
  <c r="R17" i="2"/>
  <c r="S46" i="2"/>
  <c r="R46" i="2"/>
  <c r="S45" i="2"/>
  <c r="R45" i="2"/>
  <c r="S32" i="2"/>
  <c r="R32" i="2"/>
  <c r="S39" i="2"/>
  <c r="R39" i="2"/>
  <c r="S5" i="2"/>
  <c r="R5" i="2"/>
  <c r="S44" i="2"/>
  <c r="R44" i="2"/>
  <c r="S82" i="2"/>
  <c r="R82" i="2"/>
  <c r="S65" i="2"/>
  <c r="R65" i="2"/>
  <c r="S78" i="2"/>
  <c r="R78" i="2"/>
  <c r="S21" i="2"/>
  <c r="R21" i="2"/>
  <c r="S64" i="2"/>
  <c r="R64" i="2"/>
  <c r="S36" i="2"/>
  <c r="R36" i="2"/>
  <c r="S88" i="2"/>
  <c r="R88" i="2"/>
  <c r="S63" i="2"/>
  <c r="R63" i="2"/>
  <c r="S31" i="2"/>
  <c r="R31" i="2"/>
  <c r="S30" i="2"/>
  <c r="R30" i="2"/>
  <c r="S43" i="2"/>
  <c r="R43" i="2"/>
  <c r="S24" i="2"/>
  <c r="R24" i="2"/>
  <c r="S87" i="2"/>
  <c r="R87" i="2"/>
  <c r="S29" i="2"/>
  <c r="R29" i="2"/>
  <c r="S4" i="2"/>
  <c r="R4" i="2"/>
  <c r="S73" i="2"/>
  <c r="R73" i="2"/>
  <c r="S25" i="2"/>
  <c r="R25" i="2"/>
  <c r="S38" i="2"/>
  <c r="R38" i="2"/>
  <c r="S42" i="2"/>
  <c r="R42" i="2"/>
  <c r="S62" i="2"/>
  <c r="R62" i="2"/>
  <c r="S61" i="2"/>
  <c r="R61" i="2"/>
  <c r="S56" i="2"/>
  <c r="R56" i="2"/>
  <c r="S60" i="2"/>
  <c r="R60" i="2"/>
  <c r="S41" i="2"/>
  <c r="R41" i="2"/>
  <c r="S10" i="2"/>
  <c r="R10" i="2"/>
  <c r="S9" i="2"/>
  <c r="R9" i="2"/>
  <c r="S37" i="2"/>
  <c r="R37" i="2"/>
  <c r="S59" i="2"/>
  <c r="R59" i="2"/>
  <c r="S58" i="2"/>
  <c r="R58" i="2"/>
  <c r="S28" i="2"/>
  <c r="R28" i="2"/>
  <c r="S81" i="2"/>
  <c r="R81" i="2"/>
  <c r="S77" i="2"/>
  <c r="R77" i="2"/>
  <c r="S40" i="2"/>
  <c r="R40" i="2"/>
  <c r="S8" i="2"/>
  <c r="R8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<sst xmlns="http://schemas.openxmlformats.org/spreadsheetml/2006/main" count="1688" uniqueCount="178">
  <si>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</si>
  <si>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</si>
  <si>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</si>
  <si>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</si>
  <si>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</si>
  <si>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</si>
  <si>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</si>
  <si>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</si>
  <si>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</si>
  <si>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</si>
  <si>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</si>
  <si>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</si>
  <si>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</si>
  <si>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</si>
  <si>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</si>
  <si>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</si>
  <si>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</si>
  <si>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</si>
  <si>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</si>
  <si>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000261759</t>
  </si>
  <si>
    <t>December</t>
  </si>
  <si>
    <t>Adults (35-64)</t>
  </si>
  <si>
    <t>F</t>
  </si>
  <si>
    <t>United States</t>
  </si>
  <si>
    <t>Oregon</t>
  </si>
  <si>
    <t>Bikes</t>
  </si>
  <si>
    <t>Mountain Bikes</t>
  </si>
  <si>
    <t>Mountain-100 Black, 48</t>
  </si>
  <si>
    <t>000261766</t>
  </si>
  <si>
    <t>Young Adults (25-34)</t>
  </si>
  <si>
    <t>Australia</t>
  </si>
  <si>
    <t>Victoria</t>
  </si>
  <si>
    <t>Mountain-100 Black, 38</t>
  </si>
  <si>
    <t>000261714</t>
  </si>
  <si>
    <t>Canada</t>
  </si>
  <si>
    <t>British Columbia</t>
  </si>
  <si>
    <t>Mountain-200 Silver, 38</t>
  </si>
  <si>
    <t>000261730</t>
  </si>
  <si>
    <t>New South Wales</t>
  </si>
  <si>
    <t>Mountain-200 Silver, 42</t>
  </si>
  <si>
    <t>000261750</t>
  </si>
  <si>
    <t>Germany</t>
  </si>
  <si>
    <t>Nordrhein-Westfalen</t>
  </si>
  <si>
    <t>Mountain-200 Silver, 46</t>
  </si>
  <si>
    <t>000261756</t>
  </si>
  <si>
    <t>Youth (&lt;25)</t>
  </si>
  <si>
    <t>M</t>
  </si>
  <si>
    <t>France</t>
  </si>
  <si>
    <t>Nord</t>
  </si>
  <si>
    <t>000261696</t>
  </si>
  <si>
    <t>California</t>
  </si>
  <si>
    <t>Mountain-200 Black, 46</t>
  </si>
  <si>
    <t>000261703</t>
  </si>
  <si>
    <t>000261704</t>
  </si>
  <si>
    <t>Mountain-200 Black, 38</t>
  </si>
  <si>
    <t>000261758</t>
  </si>
  <si>
    <t>Seine (Paris)</t>
  </si>
  <si>
    <t>000261760</t>
  </si>
  <si>
    <t>000261761</t>
  </si>
  <si>
    <t>000261762</t>
  </si>
  <si>
    <t>Queensland</t>
  </si>
  <si>
    <t>000261767</t>
  </si>
  <si>
    <t>000261782</t>
  </si>
  <si>
    <t>Mountain-200 Black, 42</t>
  </si>
  <si>
    <t>000261735</t>
  </si>
  <si>
    <t>000261751</t>
  </si>
  <si>
    <t>Seine Saint Denis</t>
  </si>
  <si>
    <t>000261771</t>
  </si>
  <si>
    <t>Somme</t>
  </si>
  <si>
    <t>000261773</t>
  </si>
  <si>
    <t>Washington</t>
  </si>
  <si>
    <t>000261725</t>
  </si>
  <si>
    <t>000261753</t>
  </si>
  <si>
    <t>000261774</t>
  </si>
  <si>
    <t>000261717</t>
  </si>
  <si>
    <t>000261712</t>
  </si>
  <si>
    <t>000261739</t>
  </si>
  <si>
    <t>000261746</t>
  </si>
  <si>
    <t>000261699</t>
  </si>
  <si>
    <t>000261715</t>
  </si>
  <si>
    <t>Mountain-500 Black, 42</t>
  </si>
  <si>
    <t>000261719</t>
  </si>
  <si>
    <t>000261720</t>
  </si>
  <si>
    <t>000261732</t>
  </si>
  <si>
    <t>000261743</t>
  </si>
  <si>
    <t>000261744</t>
  </si>
  <si>
    <t>000261764</t>
  </si>
  <si>
    <t>Hessen</t>
  </si>
  <si>
    <t>000261723</t>
  </si>
  <si>
    <t>Mountain-100 Silver, 44</t>
  </si>
  <si>
    <t>000261702</t>
  </si>
  <si>
    <t>Mountain-400-W Silver, 42</t>
  </si>
  <si>
    <t>000261711</t>
  </si>
  <si>
    <t>Mountain-400-W Silver, 38</t>
  </si>
  <si>
    <t>000261731</t>
  </si>
  <si>
    <t>Mountain-400-W Silver, 46</t>
  </si>
  <si>
    <t>000261695</t>
  </si>
  <si>
    <t>United Kingdom</t>
  </si>
  <si>
    <t>England</t>
  </si>
  <si>
    <t>000261705</t>
  </si>
  <si>
    <t>000261710</t>
  </si>
  <si>
    <t>000261718</t>
  </si>
  <si>
    <t>Hamburg</t>
  </si>
  <si>
    <t>000261729</t>
  </si>
  <si>
    <t>000261733</t>
  </si>
  <si>
    <t>000261734</t>
  </si>
  <si>
    <t>000261742</t>
  </si>
  <si>
    <t>000261745</t>
  </si>
  <si>
    <t>Seine et Marne</t>
  </si>
  <si>
    <t>000261748</t>
  </si>
  <si>
    <t>000261755</t>
  </si>
  <si>
    <t>000261765</t>
  </si>
  <si>
    <t>000261769</t>
  </si>
  <si>
    <t>000261770</t>
  </si>
  <si>
    <t>000261778</t>
  </si>
  <si>
    <t>000261779</t>
  </si>
  <si>
    <t>000261707</t>
  </si>
  <si>
    <t>000261752</t>
  </si>
  <si>
    <t>000261700</t>
  </si>
  <si>
    <t>000261701</t>
  </si>
  <si>
    <t>000261706</t>
  </si>
  <si>
    <t>000261708</t>
  </si>
  <si>
    <t>000261709</t>
  </si>
  <si>
    <t>000261721</t>
  </si>
  <si>
    <t>000261724</t>
  </si>
  <si>
    <t>000261727</t>
  </si>
  <si>
    <t>000261737</t>
  </si>
  <si>
    <t>000261738</t>
  </si>
  <si>
    <t>000261740</t>
  </si>
  <si>
    <t>000261754</t>
  </si>
  <si>
    <t>000261776</t>
  </si>
  <si>
    <t>000261777</t>
  </si>
  <si>
    <t>000261780</t>
  </si>
  <si>
    <t>000261713</t>
  </si>
  <si>
    <t>Mountain-500 Silver, 42</t>
  </si>
  <si>
    <t>000261749</t>
  </si>
  <si>
    <t>000261757</t>
  </si>
  <si>
    <t>Mountain-500 Black, 44</t>
  </si>
  <si>
    <t>000261768</t>
  </si>
  <si>
    <t>Mountain-500 Black, 52</t>
  </si>
  <si>
    <t>000261697</t>
  </si>
  <si>
    <t>000261726</t>
  </si>
  <si>
    <t>000261772</t>
  </si>
  <si>
    <t>000261763</t>
  </si>
  <si>
    <t>South Australia</t>
  </si>
  <si>
    <t>Mountain-500 Black, 40</t>
  </si>
  <si>
    <t>000261698</t>
  </si>
  <si>
    <t>000261728</t>
  </si>
  <si>
    <t>000261741</t>
  </si>
  <si>
    <t>000261747</t>
  </si>
  <si>
    <t>000261736</t>
  </si>
  <si>
    <t>Mountain-500 Silver, 40</t>
  </si>
  <si>
    <t>000261775</t>
  </si>
  <si>
    <t>000261716</t>
  </si>
  <si>
    <t>000261722</t>
  </si>
  <si>
    <t>000261781</t>
  </si>
  <si>
    <t>Count of Sales Volume </t>
  </si>
  <si>
    <t>Product </t>
  </si>
  <si>
    <t>County 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</si>
  <si>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</si>
  <si>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</si>
  <si>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</si>
  <si>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</si>
  <si>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</si>
  <si>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</si>
  <si>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</si>
  <si>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</si>
  <si>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</si>
  <si>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</si>
  <si>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Quattrocento Sans"/>
        <charset val="1"/>
      </rPr>
      <t> </t>
    </r>
  </si>
  <si>
    <r>
      <t>Product</t>
    </r>
    <r>
      <rPr>
        <sz val="12"/>
        <rFont val="Quattrocento Sans"/>
        <charset val="1"/>
      </rPr>
      <t> </t>
    </r>
  </si>
  <si>
    <r>
      <t>Sales Volume</t>
    </r>
    <r>
      <rPr>
        <sz val="12"/>
        <rFont val="Quattrocento Sans"/>
        <charset val="1"/>
      </rPr>
      <t> </t>
    </r>
  </si>
  <si>
    <t>Sales Volume Categorisation</t>
  </si>
  <si>
    <t xml:space="preserve">United States </t>
  </si>
  <si>
    <t>Sum of Order_Quantity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</si>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</sst>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Quattrocento Sans"/>
      <charset val="1"/>
    </font>
    <font>
      <b/>
      <sz val="12"/>
      <name val="Quattrocento Sans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21" fillId="0" borderId="10" xfId="0" applyFont="1" applyBorder="1" applyAlignment="1">
      <alignment wrapText="1" readingOrder="1"/>
    </xf>
    <xf numFmtId="0" fontId="21" fillId="0" borderId="11" xfId="0" applyFont="1" applyBorder="1" applyAlignment="1">
      <alignment wrapText="1" readingOrder="1"/>
    </xf>
    <xf numFmtId="0" fontId="21" fillId="0" borderId="12" xfId="0" applyFont="1" applyBorder="1" applyAlignment="1">
      <alignment wrapText="1" readingOrder="1"/>
    </xf>
    <xf numFmtId="0" fontId="22" fillId="0" borderId="13" xfId="0" applyFont="1" applyBorder="1" applyAlignment="1">
      <alignment wrapText="1" readingOrder="1"/>
    </xf>
    <xf numFmtId="0" fontId="22" fillId="0" borderId="14" xfId="0" applyFont="1" applyBorder="1" applyAlignment="1">
      <alignment wrapText="1" readingOrder="1"/>
    </xf>
    <xf numFmtId="0" fontId="22" fillId="0" borderId="15" xfId="0" applyFont="1" applyBorder="1" applyAlignment="1">
      <alignment wrapText="1" readingOrder="1"/>
    </xf>
    <xf numFmtId="0" fontId="21" fillId="0" borderId="16" xfId="0" applyFont="1" applyBorder="1" applyAlignment="1">
      <alignment wrapText="1" readingOrder="1"/>
    </xf>
    <xf numFmtId="0" fontId="21" fillId="0" borderId="17" xfId="0" applyFont="1" applyBorder="1" applyAlignment="1">
      <alignment wrapText="1" readingOrder="1"/>
    </xf>
    <xf numFmtId="0" fontId="21" fillId="0" borderId="18" xfId="0" applyFont="1" applyBorder="1" applyAlignment="1">
      <alignment wrapText="1" readingOrder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charset val="1"/>
        <scheme val="none"/>
      </font>
      <alignment horizontal="general" vertical="bottom" textRotation="0" wrapText="1" indent="0" justifyLastLine="0" shrinkToFit="0" readingOrder="1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CBE-B95B-3F3A9D4FB26D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8-4833-A582-C906C00D2652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8-4833-A582-C906C00D2652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8-4833-A582-C906C00D2652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C8-4833-A582-C906C00D2652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C8-4833-A582-C906C00D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4391048"/>
        <c:axId val="1346249736"/>
      </c:barChart>
      <c:catAx>
        <c:axId val="211439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49736"/>
        <c:crosses val="autoZero"/>
        <c:auto val="1"/>
        <c:lblAlgn val="ctr"/>
        <c:lblOffset val="100"/>
        <c:noMultiLvlLbl val="0"/>
      </c:catAx>
      <c:valAx>
        <c:axId val="134624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39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2</xdr:row>
      <xdr:rowOff>19050</xdr:rowOff>
    </xdr:from>
    <xdr:to>
      <xdr:col>18</xdr:col>
      <xdr:colOff>38100</xdr:colOff>
      <xdr:row>14</xdr:row>
      <xdr:rowOff>95250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FFDD14D-E7E6-45F0-9679-C0773D834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71968402778" createdVersion="8" refreshedVersion="8" minRefreshableVersion="3" recordCount="88" xr:uid="{482407C2-E61C-4BC0-9E93-E324ECCA03A8}">
  <cacheSource type="worksheet">
    <worksheetSource ref="A1:S89" sheet="Bike Sales (2)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States " u="1"/>
        <s v="United  States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468545023148" createdVersion="8" refreshedVersion="8" minRefreshableVersion="3" recordCount="12" xr:uid="{4E0CE70B-05AB-48BF-B6F7-2F6F18190A0A}">
  <cacheSource type="worksheet">
    <worksheetSource name="Table4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unt="9">
        <s v="500 "/>
        <s v="200 "/>
        <s v="700 "/>
        <s v="400 "/>
        <s v="150 "/>
        <s v="600 "/>
        <s v="800 "/>
        <s v="300 "/>
        <s v="250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8BA1-8A41-43E7-A9DA-3331C9E9CDCF}" name="PivotTable1" cacheId="10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>
      <items count="10">
        <item x="4"/>
        <item x="1"/>
        <item x="8"/>
        <item x="7"/>
        <item x="3"/>
        <item x="0"/>
        <item x="5"/>
        <item x="2"/>
        <item x="6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 Volume 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89923-E824-441F-93B9-26B5E3E44156}" name="PivotTable2" cacheId="994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4"/>
        <item x="5"/>
        <item x="3"/>
        <item m="1" x="7"/>
        <item x="0"/>
        <item x="1"/>
        <item m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chartFormats count="8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52B08-70E2-4AC9-A9A1-50BDCDFB8CC8}" name="Table1" displayName="Table1" ref="A1:S89" totalsRowShown="0" headerRowDxfId="27">
  <autoFilter ref="A1:S89" xr:uid="{4C652B08-70E2-4AC9-A9A1-50BDCDFB8CC8}"/>
  <sortState xmlns:xlrd2="http://schemas.microsoft.com/office/spreadsheetml/2017/richdata2" ref="A2:S89">
    <sortCondition descending="1" ref="S1:S89"/>
  </sortState>
  <tableColumns count="19">
    <tableColumn id="1" xr3:uid="{14D0BA66-011B-405A-9335-2D4B41069C93}" name="Sales_Order #" dataDxfId="26"/>
    <tableColumn id="2" xr3:uid="{A59AE15C-FED9-4A6B-A729-6C848B62AE46}" name="Date" dataDxfId="25"/>
    <tableColumn id="3" xr3:uid="{83947CB7-C283-4BD5-A3F6-F56B4F68A7AF}" name="Day"/>
    <tableColumn id="4" xr3:uid="{B209B78D-0120-404F-878C-21000A1778C5}" name="Month"/>
    <tableColumn id="5" xr3:uid="{4B6369C8-7503-423F-82D8-E4688ACA1D9B}" name="Year"/>
    <tableColumn id="6" xr3:uid="{133D1E67-2D91-4A7D-B0A5-69883D2B4468}" name="Customer_Age"/>
    <tableColumn id="7" xr3:uid="{5AE78A2E-C9DA-490C-9F93-8773C9E62D9B}" name="Age_Group" dataDxfId="24"/>
    <tableColumn id="8" xr3:uid="{78DD133F-793A-4326-8297-244D3AC3F98C}" name="Customer_Gender"/>
    <tableColumn id="9" xr3:uid="{61363CC4-7D81-49ED-9EBA-8A948ABA3775}" name="Country"/>
    <tableColumn id="10" xr3:uid="{2885E4AA-DCCB-4D51-8A01-C5960923D625}" name="State"/>
    <tableColumn id="11" xr3:uid="{BE3F216A-E4E1-4777-A0EC-29A8C2645652}" name="Product_Category"/>
    <tableColumn id="12" xr3:uid="{F3D68A44-4B0D-4DBE-BBAE-ABB22A36236D}" name="Sub_Category"/>
    <tableColumn id="13" xr3:uid="{7827039D-101F-4C9A-979A-88FC98C87173}" name="Product_Description" dataDxfId="23"/>
    <tableColumn id="14" xr3:uid="{D08AABD5-05A4-4A28-93D9-23507ABB58FF}" name="Order_Quantity"/>
    <tableColumn id="15" xr3:uid="{150DB0A2-1AF3-4511-B3CC-BE834794AE14}" name=" Unit_Cost " dataDxfId="22"/>
    <tableColumn id="16" xr3:uid="{56FB6A72-50F6-4BB6-9CCD-2FFF462BDF3F}" name=" Unit_Price " dataDxfId="21"/>
    <tableColumn id="17" xr3:uid="{A12F818A-E129-41DC-B34A-8A6721BA5A51}" name=" Profit " dataDxfId="20"/>
    <tableColumn id="18" xr3:uid="{631F9B8F-56F0-4BA5-97FE-144110E2AFEC}" name=" Cost " dataDxfId="19">
      <calculatedColumnFormula>N2*O2</calculatedColumnFormula>
    </tableColumn>
    <tableColumn id="19" xr3:uid="{8EA50A41-14CC-4403-9F81-ED1772A47E6D}" name="Revenue" dataDxfId="18">
      <calculatedColumnFormula>N2*P2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DA16B1-8809-4B32-AB34-646E8BA923E6}" name="Table4" displayName="Table4" ref="A1:D13" totalsRowShown="0" headerRowDxfId="17" headerRowBorderDxfId="15" tableBorderDxfId="16" totalsRowBorderDxfId="14">
  <autoFilter ref="A1:D13" xr:uid="{91DA16B1-8809-4B32-AB34-646E8BA923E6}"/>
  <tableColumns count="4">
    <tableColumn id="1" xr3:uid="{FF91E0AB-533F-4697-A438-3930E959AE17}" name="County " dataDxfId="13"/>
    <tableColumn id="2" xr3:uid="{C08BA72C-6844-43B9-8E04-A1EB3741AB22}" name="Product " dataDxfId="12"/>
    <tableColumn id="3" xr3:uid="{2A31548F-3C78-4A5D-8F10-13ADCF20EE69}" name="Sales Volume " dataDxfId="11"/>
    <tableColumn id="4" xr3:uid="{F33701BD-9133-40E1-9D56-79FF7B59D539}" name="Sales Volume Categorisation" dataDxfId="10">
      <calculatedColumnFormula array="1">_xlfn.SWITCH(TRUE, C2 &gt; 600, "High", C2 &gt;= 300, "Medium",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7C7DC-6E58-486E-8633-3650FA380678}" name="Table2" displayName="Table2" ref="A1:S89" totalsRowShown="0" headerRowDxfId="9">
  <autoFilter ref="A1:S89" xr:uid="{8507C7DC-6E58-486E-8633-3650FA380678}"/>
  <tableColumns count="19">
    <tableColumn id="1" xr3:uid="{C5CE4220-4BC4-4B1F-B28A-CD980FBC7217}" name="Sales_Order #" dataDxfId="8"/>
    <tableColumn id="2" xr3:uid="{9AB0D69F-C26D-437F-89FD-BFA07CF6CC2E}" name="Date" dataDxfId="7"/>
    <tableColumn id="3" xr3:uid="{A6D05983-BC02-4279-8B71-D999359634B4}" name="Day"/>
    <tableColumn id="4" xr3:uid="{BDF00BEC-F62E-4221-83DB-0F39EA3FD8CA}" name="Month"/>
    <tableColumn id="5" xr3:uid="{10B2E0BB-2B4C-49B8-B3C7-5A81711065D7}" name="Year"/>
    <tableColumn id="6" xr3:uid="{153747E2-8FA2-40DD-8C7B-44C174E1D444}" name="Customer_Age"/>
    <tableColumn id="7" xr3:uid="{7C6FF3A1-6861-48D6-8DD3-1BAD10CDA08F}" name="Age_Group" dataDxfId="6"/>
    <tableColumn id="8" xr3:uid="{09AFC96D-8AA5-464D-8DB0-4AA39308356B}" name="Customer_Gender"/>
    <tableColumn id="9" xr3:uid="{D87F49C2-569F-4487-8A36-B11A46FC2864}" name="Country"/>
    <tableColumn id="10" xr3:uid="{B1039A0D-B851-4F8A-AEC0-97FD41A0A7FE}" name="State"/>
    <tableColumn id="11" xr3:uid="{946AFAF4-03C8-4924-BE8F-4C9C47FE8E32}" name="Product_Category"/>
    <tableColumn id="12" xr3:uid="{F1F2AF31-C2CB-425B-84FD-E5E44123FCE8}" name="Sub_Category"/>
    <tableColumn id="13" xr3:uid="{8A7B8595-4EA9-4524-A4AD-794AA1B0B4F1}" name="Product_Description" dataDxfId="5"/>
    <tableColumn id="14" xr3:uid="{8B1F3C88-51F9-4011-99B5-C30A251997CF}" name="Order_Quantity"/>
    <tableColumn id="15" xr3:uid="{51D1AE33-9C14-40CF-817C-5C07CA60938B}" name=" Unit_Cost " dataDxfId="4"/>
    <tableColumn id="16" xr3:uid="{B0370BED-777C-4359-B9C0-B6A7D81158C0}" name=" Unit_Price " dataDxfId="3"/>
    <tableColumn id="17" xr3:uid="{44750DF6-B768-4622-A9F5-734CF782DD1B}" name=" Profit " dataDxfId="2"/>
    <tableColumn id="18" xr3:uid="{31EE30D6-4084-4BAA-9211-00DA00F11A9B}" name=" Cost " dataDxfId="1">
      <calculatedColumnFormula>N2*O2</calculatedColumnFormula>
    </tableColumn>
    <tableColumn id="19" xr3:uid="{CCFD0B1D-B06C-4457-9567-C899E9818516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A8E1-6C66-4047-AB72-1AD3A7E371E6}">
  <dimension ref="A1:V89"/>
  <sheetViews>
    <sheetView topLeftCell="G1" workbookViewId="0">
      <selection activeCell="G26" sqref="G26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22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22">
      <c r="A2" s="3" t="s">
        <v>19</v>
      </c>
      <c r="B2" s="1">
        <v>44549</v>
      </c>
      <c r="C2">
        <v>19</v>
      </c>
      <c r="D2" t="s">
        <v>20</v>
      </c>
      <c r="E2">
        <v>2021</v>
      </c>
      <c r="F2">
        <v>35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1898</v>
      </c>
      <c r="P2" s="2">
        <v>3375</v>
      </c>
      <c r="Q2" s="2">
        <v>5908</v>
      </c>
      <c r="R2" s="2">
        <f t="shared" ref="R2:R33" si="0">N2*O2</f>
        <v>7592</v>
      </c>
      <c r="S2" s="2">
        <f t="shared" ref="S2:S33" si="1">N2*P2</f>
        <v>13500</v>
      </c>
    </row>
    <row r="3" spans="1:22">
      <c r="A3" s="3" t="s">
        <v>28</v>
      </c>
      <c r="B3" s="1">
        <v>44550</v>
      </c>
      <c r="C3">
        <v>20</v>
      </c>
      <c r="D3" t="s">
        <v>20</v>
      </c>
      <c r="E3">
        <v>2021</v>
      </c>
      <c r="F3">
        <v>33</v>
      </c>
      <c r="G3" s="8" t="s">
        <v>29</v>
      </c>
      <c r="H3" t="s">
        <v>22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4</v>
      </c>
      <c r="O3" s="2">
        <v>1898</v>
      </c>
      <c r="P3" s="2">
        <v>3375</v>
      </c>
      <c r="Q3" s="2">
        <v>5908</v>
      </c>
      <c r="R3" s="2">
        <f t="shared" si="0"/>
        <v>7592</v>
      </c>
      <c r="S3" s="2">
        <f t="shared" si="1"/>
        <v>13500</v>
      </c>
    </row>
    <row r="4" spans="1:22">
      <c r="A4" s="3" t="s">
        <v>33</v>
      </c>
      <c r="B4" s="1">
        <v>44538</v>
      </c>
      <c r="C4">
        <v>8</v>
      </c>
      <c r="D4" t="s">
        <v>20</v>
      </c>
      <c r="E4">
        <v>2021</v>
      </c>
      <c r="F4">
        <v>30</v>
      </c>
      <c r="G4" s="8" t="s">
        <v>29</v>
      </c>
      <c r="H4" t="s">
        <v>22</v>
      </c>
      <c r="I4" t="s">
        <v>34</v>
      </c>
      <c r="J4" t="s">
        <v>35</v>
      </c>
      <c r="K4" t="s">
        <v>25</v>
      </c>
      <c r="L4" t="s">
        <v>26</v>
      </c>
      <c r="M4" s="5" t="s">
        <v>36</v>
      </c>
      <c r="N4">
        <v>4</v>
      </c>
      <c r="O4" s="2">
        <v>1266</v>
      </c>
      <c r="P4" s="2">
        <v>2320</v>
      </c>
      <c r="Q4" s="2">
        <v>4216</v>
      </c>
      <c r="R4" s="2">
        <f t="shared" si="0"/>
        <v>5064</v>
      </c>
      <c r="S4" s="2">
        <f t="shared" si="1"/>
        <v>9280</v>
      </c>
    </row>
    <row r="5" spans="1:22">
      <c r="A5" s="3" t="s">
        <v>37</v>
      </c>
      <c r="B5" s="1">
        <v>44542</v>
      </c>
      <c r="C5">
        <v>12</v>
      </c>
      <c r="D5" t="s">
        <v>20</v>
      </c>
      <c r="E5">
        <v>2021</v>
      </c>
      <c r="F5">
        <v>36</v>
      </c>
      <c r="G5" s="8" t="s">
        <v>21</v>
      </c>
      <c r="H5" t="s">
        <v>22</v>
      </c>
      <c r="I5" t="s">
        <v>30</v>
      </c>
      <c r="J5" t="s">
        <v>38</v>
      </c>
      <c r="K5" t="s">
        <v>25</v>
      </c>
      <c r="L5" t="s">
        <v>26</v>
      </c>
      <c r="M5" s="5" t="s">
        <v>39</v>
      </c>
      <c r="N5">
        <v>4</v>
      </c>
      <c r="O5" s="2">
        <v>1266</v>
      </c>
      <c r="P5" s="2">
        <v>2320</v>
      </c>
      <c r="Q5" s="2">
        <v>4216</v>
      </c>
      <c r="R5" s="2">
        <f t="shared" si="0"/>
        <v>5064</v>
      </c>
      <c r="S5" s="2">
        <f t="shared" si="1"/>
        <v>9280</v>
      </c>
    </row>
    <row r="6" spans="1:22">
      <c r="A6" s="3" t="s">
        <v>40</v>
      </c>
      <c r="B6" s="1">
        <v>44548</v>
      </c>
      <c r="C6">
        <v>18</v>
      </c>
      <c r="D6" t="s">
        <v>20</v>
      </c>
      <c r="E6">
        <v>2021</v>
      </c>
      <c r="F6">
        <v>38</v>
      </c>
      <c r="G6" s="8" t="s">
        <v>21</v>
      </c>
      <c r="H6" t="s">
        <v>22</v>
      </c>
      <c r="I6" t="s">
        <v>41</v>
      </c>
      <c r="J6" t="s">
        <v>42</v>
      </c>
      <c r="K6" t="s">
        <v>25</v>
      </c>
      <c r="L6" t="s">
        <v>26</v>
      </c>
      <c r="M6" s="5" t="s">
        <v>43</v>
      </c>
      <c r="N6">
        <v>4</v>
      </c>
      <c r="O6" s="2">
        <v>1266</v>
      </c>
      <c r="P6" s="2">
        <v>2320</v>
      </c>
      <c r="Q6" s="2">
        <v>4216</v>
      </c>
      <c r="R6" s="2">
        <f t="shared" si="0"/>
        <v>5064</v>
      </c>
      <c r="S6" s="2">
        <f t="shared" si="1"/>
        <v>9280</v>
      </c>
      <c r="V6" t="str" cm="1">
        <f t="array" ref="V6:V11">_xlfn.UNIQUE(I2:I89)</f>
        <v>United States</v>
      </c>
    </row>
    <row r="7" spans="1:22">
      <c r="A7" s="3" t="s">
        <v>44</v>
      </c>
      <c r="B7" s="1">
        <v>44549</v>
      </c>
      <c r="C7">
        <v>19</v>
      </c>
      <c r="D7" t="s">
        <v>20</v>
      </c>
      <c r="E7">
        <v>2021</v>
      </c>
      <c r="F7">
        <v>17</v>
      </c>
      <c r="G7" s="8" t="s">
        <v>45</v>
      </c>
      <c r="H7" t="s">
        <v>46</v>
      </c>
      <c r="I7" t="s">
        <v>47</v>
      </c>
      <c r="J7" t="s">
        <v>48</v>
      </c>
      <c r="K7" t="s">
        <v>25</v>
      </c>
      <c r="L7" t="s">
        <v>26</v>
      </c>
      <c r="M7" s="5" t="s">
        <v>43</v>
      </c>
      <c r="N7">
        <v>4</v>
      </c>
      <c r="O7" s="2">
        <v>1266</v>
      </c>
      <c r="P7" s="2">
        <v>2320</v>
      </c>
      <c r="Q7" s="2">
        <v>4216</v>
      </c>
      <c r="R7" s="2">
        <f t="shared" si="0"/>
        <v>5064</v>
      </c>
      <c r="S7" s="2">
        <f t="shared" si="1"/>
        <v>9280</v>
      </c>
      <c r="V7" t="str">
        <v>Australia</v>
      </c>
    </row>
    <row r="8" spans="1:22">
      <c r="A8" s="3" t="s">
        <v>49</v>
      </c>
      <c r="B8" s="1">
        <v>44531</v>
      </c>
      <c r="C8">
        <v>1</v>
      </c>
      <c r="D8" t="s">
        <v>20</v>
      </c>
      <c r="E8">
        <v>2021</v>
      </c>
      <c r="F8">
        <v>39</v>
      </c>
      <c r="G8" s="8" t="s">
        <v>21</v>
      </c>
      <c r="H8" t="s">
        <v>22</v>
      </c>
      <c r="I8" t="s">
        <v>23</v>
      </c>
      <c r="J8" t="s">
        <v>50</v>
      </c>
      <c r="K8" t="s">
        <v>25</v>
      </c>
      <c r="L8" t="s">
        <v>26</v>
      </c>
      <c r="M8" s="5" t="s">
        <v>51</v>
      </c>
      <c r="N8">
        <v>4</v>
      </c>
      <c r="O8" s="2">
        <v>1252</v>
      </c>
      <c r="P8" s="2">
        <v>2295</v>
      </c>
      <c r="Q8" s="2">
        <v>4172</v>
      </c>
      <c r="R8" s="2">
        <f t="shared" si="0"/>
        <v>5008</v>
      </c>
      <c r="S8" s="2">
        <f t="shared" si="1"/>
        <v>9180</v>
      </c>
      <c r="V8" t="str">
        <v>Canada</v>
      </c>
    </row>
    <row r="9" spans="1:22">
      <c r="A9" s="3" t="s">
        <v>52</v>
      </c>
      <c r="B9" s="1">
        <v>44535</v>
      </c>
      <c r="C9">
        <v>5</v>
      </c>
      <c r="D9" t="s">
        <v>20</v>
      </c>
      <c r="E9">
        <v>2021</v>
      </c>
      <c r="F9">
        <v>39</v>
      </c>
      <c r="G9" s="8" t="s">
        <v>21</v>
      </c>
      <c r="H9" t="s">
        <v>22</v>
      </c>
      <c r="I9" t="s">
        <v>23</v>
      </c>
      <c r="J9" t="s">
        <v>50</v>
      </c>
      <c r="K9" t="s">
        <v>25</v>
      </c>
      <c r="L9" t="s">
        <v>26</v>
      </c>
      <c r="M9" s="5" t="s">
        <v>51</v>
      </c>
      <c r="N9">
        <v>4</v>
      </c>
      <c r="O9" s="2">
        <v>1252</v>
      </c>
      <c r="P9" s="2">
        <v>2295</v>
      </c>
      <c r="Q9" s="2">
        <v>4172</v>
      </c>
      <c r="R9" s="2">
        <f t="shared" si="0"/>
        <v>5008</v>
      </c>
      <c r="S9" s="2">
        <f t="shared" si="1"/>
        <v>9180</v>
      </c>
      <c r="V9" t="str">
        <v>Germany</v>
      </c>
    </row>
    <row r="10" spans="1:22">
      <c r="A10" s="3" t="s">
        <v>53</v>
      </c>
      <c r="B10" s="1">
        <v>44535</v>
      </c>
      <c r="D10" t="s">
        <v>20</v>
      </c>
      <c r="E10">
        <v>2021</v>
      </c>
      <c r="F10">
        <v>42</v>
      </c>
      <c r="G10" s="8" t="s">
        <v>21</v>
      </c>
      <c r="H10" t="s">
        <v>46</v>
      </c>
      <c r="I10" t="s">
        <v>41</v>
      </c>
      <c r="J10" t="s">
        <v>42</v>
      </c>
      <c r="K10" t="s">
        <v>25</v>
      </c>
      <c r="L10" t="s">
        <v>26</v>
      </c>
      <c r="M10" s="5" t="s">
        <v>54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  <c r="V10" t="str">
        <v>France</v>
      </c>
    </row>
    <row r="11" spans="1:22">
      <c r="A11" s="3" t="s">
        <v>55</v>
      </c>
      <c r="B11" s="1">
        <v>44549</v>
      </c>
      <c r="C11">
        <v>19</v>
      </c>
      <c r="D11" t="s">
        <v>20</v>
      </c>
      <c r="E11">
        <v>2021</v>
      </c>
      <c r="F11">
        <v>25</v>
      </c>
      <c r="G11" s="8" t="s">
        <v>29</v>
      </c>
      <c r="H11" t="s">
        <v>46</v>
      </c>
      <c r="I11" t="s">
        <v>47</v>
      </c>
      <c r="J11" t="s">
        <v>56</v>
      </c>
      <c r="K11" t="s">
        <v>25</v>
      </c>
      <c r="L11" t="s">
        <v>26</v>
      </c>
      <c r="M11" s="5" t="s">
        <v>54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  <c r="V11" t="str">
        <v>United Kingdom</v>
      </c>
    </row>
    <row r="12" spans="1:22">
      <c r="A12" s="3" t="s">
        <v>57</v>
      </c>
      <c r="B12" s="1">
        <v>44549</v>
      </c>
      <c r="C12">
        <v>19</v>
      </c>
      <c r="D12" t="s">
        <v>20</v>
      </c>
      <c r="E12">
        <v>2021</v>
      </c>
      <c r="F12">
        <v>37</v>
      </c>
      <c r="G12" s="8" t="s">
        <v>21</v>
      </c>
      <c r="H12" t="s">
        <v>46</v>
      </c>
      <c r="I12" t="s">
        <v>23</v>
      </c>
      <c r="J12" t="s">
        <v>24</v>
      </c>
      <c r="K12" t="s">
        <v>25</v>
      </c>
      <c r="L12" t="s">
        <v>26</v>
      </c>
      <c r="M12" s="5" t="s">
        <v>54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22">
      <c r="A13" s="3" t="s">
        <v>58</v>
      </c>
      <c r="B13" s="1">
        <v>44549</v>
      </c>
      <c r="C13">
        <v>19</v>
      </c>
      <c r="D13" t="s">
        <v>20</v>
      </c>
      <c r="E13">
        <v>2021</v>
      </c>
      <c r="F13">
        <v>39</v>
      </c>
      <c r="G13" s="8" t="s">
        <v>21</v>
      </c>
      <c r="H13" t="s">
        <v>22</v>
      </c>
      <c r="I13" t="s">
        <v>23</v>
      </c>
      <c r="J13" t="s">
        <v>50</v>
      </c>
      <c r="K13" t="s">
        <v>25</v>
      </c>
      <c r="L13" t="s">
        <v>26</v>
      </c>
      <c r="M13" s="5" t="s">
        <v>51</v>
      </c>
      <c r="N13">
        <v>4</v>
      </c>
      <c r="O13" s="2">
        <v>1252</v>
      </c>
      <c r="P13" s="2">
        <v>2295</v>
      </c>
      <c r="Q13" s="2">
        <v>4172</v>
      </c>
      <c r="R13" s="2">
        <f t="shared" si="0"/>
        <v>5008</v>
      </c>
      <c r="S13" s="2">
        <f t="shared" si="1"/>
        <v>9180</v>
      </c>
    </row>
    <row r="14" spans="1:22">
      <c r="A14" s="3" t="s">
        <v>59</v>
      </c>
      <c r="B14" s="1">
        <v>44549</v>
      </c>
      <c r="C14">
        <v>19</v>
      </c>
      <c r="D14" t="s">
        <v>20</v>
      </c>
      <c r="E14">
        <v>2021</v>
      </c>
      <c r="F14">
        <v>63</v>
      </c>
      <c r="G14" s="8" t="s">
        <v>21</v>
      </c>
      <c r="H14" t="s">
        <v>22</v>
      </c>
      <c r="I14" t="s">
        <v>30</v>
      </c>
      <c r="J14" t="s">
        <v>60</v>
      </c>
      <c r="K14" t="s">
        <v>25</v>
      </c>
      <c r="L14" t="s">
        <v>26</v>
      </c>
      <c r="M14" s="5" t="s">
        <v>51</v>
      </c>
      <c r="N14">
        <v>4</v>
      </c>
      <c r="O14" s="2">
        <v>1252</v>
      </c>
      <c r="P14" s="2">
        <v>2295</v>
      </c>
      <c r="Q14" s="2">
        <v>4172</v>
      </c>
      <c r="R14" s="2">
        <f t="shared" si="0"/>
        <v>5008</v>
      </c>
      <c r="S14" s="2">
        <f t="shared" si="1"/>
        <v>9180</v>
      </c>
    </row>
    <row r="15" spans="1:22">
      <c r="A15" s="3" t="s">
        <v>61</v>
      </c>
      <c r="B15" s="1">
        <v>44550</v>
      </c>
      <c r="C15">
        <v>20</v>
      </c>
      <c r="D15" t="s">
        <v>20</v>
      </c>
      <c r="E15">
        <v>2021</v>
      </c>
      <c r="F15">
        <v>57</v>
      </c>
      <c r="G15" s="8" t="s">
        <v>21</v>
      </c>
      <c r="H15" t="s">
        <v>46</v>
      </c>
      <c r="I15" t="s">
        <v>30</v>
      </c>
      <c r="J15" t="s">
        <v>60</v>
      </c>
      <c r="K15" t="s">
        <v>25</v>
      </c>
      <c r="L15" t="s">
        <v>26</v>
      </c>
      <c r="M15" s="5" t="s">
        <v>51</v>
      </c>
      <c r="N15">
        <v>4</v>
      </c>
      <c r="O15" s="2">
        <v>1252</v>
      </c>
      <c r="P15" s="2">
        <v>2295</v>
      </c>
      <c r="Q15" s="2">
        <v>4172</v>
      </c>
      <c r="R15" s="2">
        <f t="shared" si="0"/>
        <v>5008</v>
      </c>
      <c r="S15" s="2">
        <f t="shared" si="1"/>
        <v>9180</v>
      </c>
    </row>
    <row r="16" spans="1:22">
      <c r="A16" s="3" t="s">
        <v>62</v>
      </c>
      <c r="B16" s="1">
        <v>44554</v>
      </c>
      <c r="C16">
        <v>24</v>
      </c>
      <c r="D16" t="s">
        <v>20</v>
      </c>
      <c r="E16">
        <v>2021</v>
      </c>
      <c r="F16">
        <v>38</v>
      </c>
      <c r="G16" s="8" t="s">
        <v>21</v>
      </c>
      <c r="H16" t="s">
        <v>46</v>
      </c>
      <c r="I16" t="s">
        <v>30</v>
      </c>
      <c r="J16" t="s">
        <v>60</v>
      </c>
      <c r="K16" t="s">
        <v>25</v>
      </c>
      <c r="L16" t="s">
        <v>26</v>
      </c>
      <c r="M16" s="5" t="s">
        <v>63</v>
      </c>
      <c r="N16">
        <v>4</v>
      </c>
      <c r="O16" s="2">
        <v>1252</v>
      </c>
      <c r="P16" s="2">
        <v>2295</v>
      </c>
      <c r="Q16" s="2">
        <v>4172</v>
      </c>
      <c r="R16" s="2">
        <f t="shared" si="0"/>
        <v>5008</v>
      </c>
      <c r="S16" s="2">
        <f t="shared" si="1"/>
        <v>9180</v>
      </c>
    </row>
    <row r="17" spans="1:19">
      <c r="A17" s="3" t="s">
        <v>64</v>
      </c>
      <c r="B17" s="1">
        <v>44543</v>
      </c>
      <c r="C17">
        <v>13</v>
      </c>
      <c r="D17" t="s">
        <v>20</v>
      </c>
      <c r="E17">
        <v>2021</v>
      </c>
      <c r="F17">
        <v>32</v>
      </c>
      <c r="G17" s="8" t="s">
        <v>29</v>
      </c>
      <c r="H17" t="s">
        <v>22</v>
      </c>
      <c r="I17" t="s">
        <v>30</v>
      </c>
      <c r="J17" t="s">
        <v>60</v>
      </c>
      <c r="K17" t="s">
        <v>25</v>
      </c>
      <c r="L17" t="s">
        <v>26</v>
      </c>
      <c r="M17" s="5" t="s">
        <v>39</v>
      </c>
      <c r="N17">
        <v>3</v>
      </c>
      <c r="O17" s="2">
        <v>1266</v>
      </c>
      <c r="P17" s="2">
        <v>2320</v>
      </c>
      <c r="Q17" s="2">
        <v>3162</v>
      </c>
      <c r="R17" s="2">
        <f t="shared" si="0"/>
        <v>3798</v>
      </c>
      <c r="S17" s="2">
        <f t="shared" si="1"/>
        <v>6960</v>
      </c>
    </row>
    <row r="18" spans="1:19">
      <c r="A18" s="3" t="s">
        <v>65</v>
      </c>
      <c r="B18" s="1">
        <v>44548</v>
      </c>
      <c r="C18">
        <v>18</v>
      </c>
      <c r="D18" t="s">
        <v>20</v>
      </c>
      <c r="E18">
        <v>2021</v>
      </c>
      <c r="F18">
        <v>24</v>
      </c>
      <c r="G18" s="8" t="s">
        <v>45</v>
      </c>
      <c r="H18" t="s">
        <v>22</v>
      </c>
      <c r="I18" t="s">
        <v>47</v>
      </c>
      <c r="J18" t="s">
        <v>66</v>
      </c>
      <c r="K18" t="s">
        <v>25</v>
      </c>
      <c r="L18" t="s">
        <v>26</v>
      </c>
      <c r="M18" s="5" t="s">
        <v>36</v>
      </c>
      <c r="N18">
        <v>3</v>
      </c>
      <c r="O18" s="2">
        <v>1266</v>
      </c>
      <c r="P18" s="2">
        <v>2320</v>
      </c>
      <c r="Q18" s="2">
        <v>3162</v>
      </c>
      <c r="R18" s="2">
        <f t="shared" si="0"/>
        <v>3798</v>
      </c>
      <c r="S18" s="2">
        <f t="shared" si="1"/>
        <v>6960</v>
      </c>
    </row>
    <row r="19" spans="1:19">
      <c r="A19" s="3" t="s">
        <v>67</v>
      </c>
      <c r="B19" s="1">
        <v>44551</v>
      </c>
      <c r="C19">
        <v>21</v>
      </c>
      <c r="D19" t="s">
        <v>20</v>
      </c>
      <c r="E19">
        <v>2021</v>
      </c>
      <c r="F19">
        <v>26</v>
      </c>
      <c r="G19" s="8" t="s">
        <v>29</v>
      </c>
      <c r="H19" t="s">
        <v>46</v>
      </c>
      <c r="I19" t="s">
        <v>47</v>
      </c>
      <c r="J19" t="s">
        <v>68</v>
      </c>
      <c r="K19" t="s">
        <v>25</v>
      </c>
      <c r="L19" t="s">
        <v>26</v>
      </c>
      <c r="M19" s="5" t="s">
        <v>36</v>
      </c>
      <c r="N19">
        <v>3</v>
      </c>
      <c r="O19" s="2">
        <v>1266</v>
      </c>
      <c r="P19" s="2">
        <v>2320</v>
      </c>
      <c r="Q19" s="2">
        <v>3162</v>
      </c>
      <c r="R19" s="2">
        <f t="shared" si="0"/>
        <v>3798</v>
      </c>
      <c r="S19" s="2">
        <f t="shared" si="1"/>
        <v>6960</v>
      </c>
    </row>
    <row r="20" spans="1:19">
      <c r="A20" s="3" t="s">
        <v>69</v>
      </c>
      <c r="B20" s="1">
        <v>44552</v>
      </c>
      <c r="C20">
        <v>22</v>
      </c>
      <c r="D20" t="s">
        <v>20</v>
      </c>
      <c r="E20">
        <v>2021</v>
      </c>
      <c r="F20">
        <v>30</v>
      </c>
      <c r="G20" s="8" t="s">
        <v>29</v>
      </c>
      <c r="H20" t="s">
        <v>22</v>
      </c>
      <c r="I20" t="s">
        <v>23</v>
      </c>
      <c r="J20" t="s">
        <v>70</v>
      </c>
      <c r="K20" t="s">
        <v>25</v>
      </c>
      <c r="L20" t="s">
        <v>26</v>
      </c>
      <c r="M20" s="5" t="s">
        <v>36</v>
      </c>
      <c r="N20">
        <v>3</v>
      </c>
      <c r="O20" s="2">
        <v>1266</v>
      </c>
      <c r="P20" s="2">
        <v>2320</v>
      </c>
      <c r="Q20" s="2">
        <v>3162</v>
      </c>
      <c r="R20" s="2">
        <f t="shared" si="0"/>
        <v>3798</v>
      </c>
      <c r="S20" s="2">
        <f t="shared" si="1"/>
        <v>6960</v>
      </c>
    </row>
    <row r="21" spans="1:19">
      <c r="A21" s="3" t="s">
        <v>71</v>
      </c>
      <c r="B21" s="1">
        <v>44541</v>
      </c>
      <c r="C21">
        <v>11</v>
      </c>
      <c r="D21" t="s">
        <v>20</v>
      </c>
      <c r="E21">
        <v>2021</v>
      </c>
      <c r="F21">
        <v>24</v>
      </c>
      <c r="G21" s="8" t="s">
        <v>45</v>
      </c>
      <c r="H21" t="s">
        <v>22</v>
      </c>
      <c r="I21" t="s">
        <v>47</v>
      </c>
      <c r="J21" t="s">
        <v>56</v>
      </c>
      <c r="K21" t="s">
        <v>25</v>
      </c>
      <c r="L21" t="s">
        <v>26</v>
      </c>
      <c r="M21" s="5" t="s">
        <v>54</v>
      </c>
      <c r="N21">
        <v>3</v>
      </c>
      <c r="O21" s="2">
        <v>1252</v>
      </c>
      <c r="P21" s="2">
        <v>2295</v>
      </c>
      <c r="Q21" s="2">
        <v>3129</v>
      </c>
      <c r="R21" s="2">
        <f t="shared" si="0"/>
        <v>3756</v>
      </c>
      <c r="S21" s="2">
        <f t="shared" si="1"/>
        <v>6885</v>
      </c>
    </row>
    <row r="22" spans="1:19">
      <c r="A22" s="3" t="s">
        <v>72</v>
      </c>
      <c r="B22" s="1">
        <v>44548</v>
      </c>
      <c r="C22">
        <v>18</v>
      </c>
      <c r="D22" t="s">
        <v>20</v>
      </c>
      <c r="E22">
        <v>2021</v>
      </c>
      <c r="F22">
        <v>39</v>
      </c>
      <c r="G22" s="8" t="s">
        <v>21</v>
      </c>
      <c r="H22" t="s">
        <v>46</v>
      </c>
      <c r="I22" t="s">
        <v>23</v>
      </c>
      <c r="J22" t="s">
        <v>50</v>
      </c>
      <c r="K22" t="s">
        <v>25</v>
      </c>
      <c r="L22" t="s">
        <v>26</v>
      </c>
      <c r="M22" s="5" t="s">
        <v>63</v>
      </c>
      <c r="N22">
        <v>3</v>
      </c>
      <c r="O22" s="2">
        <v>1252</v>
      </c>
      <c r="P22" s="2">
        <v>2295</v>
      </c>
      <c r="Q22" s="2">
        <v>3129</v>
      </c>
      <c r="R22" s="2">
        <f t="shared" si="0"/>
        <v>3756</v>
      </c>
      <c r="S22" s="2">
        <f t="shared" si="1"/>
        <v>6885</v>
      </c>
    </row>
    <row r="23" spans="1:19">
      <c r="A23" s="3" t="s">
        <v>73</v>
      </c>
      <c r="B23" s="1">
        <v>44552</v>
      </c>
      <c r="C23">
        <v>22</v>
      </c>
      <c r="D23" t="s">
        <v>20</v>
      </c>
      <c r="E23">
        <v>2021</v>
      </c>
      <c r="F23">
        <v>41</v>
      </c>
      <c r="G23" s="8" t="s">
        <v>21</v>
      </c>
      <c r="H23" t="s">
        <v>46</v>
      </c>
      <c r="I23" t="s">
        <v>23</v>
      </c>
      <c r="J23" t="s">
        <v>50</v>
      </c>
      <c r="K23" t="s">
        <v>25</v>
      </c>
      <c r="L23" t="s">
        <v>26</v>
      </c>
      <c r="M23" s="5" t="s">
        <v>63</v>
      </c>
      <c r="N23">
        <v>3</v>
      </c>
      <c r="O23" s="2">
        <v>1252</v>
      </c>
      <c r="P23" s="2">
        <v>2295</v>
      </c>
      <c r="Q23" s="2">
        <v>3129</v>
      </c>
      <c r="R23" s="2">
        <f t="shared" si="0"/>
        <v>3756</v>
      </c>
      <c r="S23" s="2">
        <f t="shared" si="1"/>
        <v>6885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29</v>
      </c>
      <c r="H24" t="s">
        <v>22</v>
      </c>
      <c r="I24" t="s">
        <v>30</v>
      </c>
      <c r="J24" t="s">
        <v>31</v>
      </c>
      <c r="K24" t="s">
        <v>25</v>
      </c>
      <c r="L24" t="s">
        <v>26</v>
      </c>
      <c r="M24" s="5" t="s">
        <v>32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44537</v>
      </c>
      <c r="C25">
        <v>7</v>
      </c>
      <c r="D25" t="s">
        <v>20</v>
      </c>
      <c r="E25">
        <v>2021</v>
      </c>
      <c r="F25">
        <v>38</v>
      </c>
      <c r="G25" s="8" t="s">
        <v>21</v>
      </c>
      <c r="H25" t="s">
        <v>46</v>
      </c>
      <c r="I25" t="s">
        <v>23</v>
      </c>
      <c r="J25" t="s">
        <v>50</v>
      </c>
      <c r="K25" t="s">
        <v>25</v>
      </c>
      <c r="L25" t="s">
        <v>26</v>
      </c>
      <c r="M25" s="5" t="s">
        <v>39</v>
      </c>
      <c r="N25">
        <v>2</v>
      </c>
      <c r="O25" s="2">
        <v>1266</v>
      </c>
      <c r="P25" s="2">
        <v>2320</v>
      </c>
      <c r="Q25" s="2">
        <v>2108</v>
      </c>
      <c r="R25" s="2">
        <f t="shared" si="0"/>
        <v>2532</v>
      </c>
      <c r="S25" s="2">
        <f t="shared" si="1"/>
        <v>4640</v>
      </c>
    </row>
    <row r="26" spans="1:19">
      <c r="A26" s="3" t="s">
        <v>76</v>
      </c>
      <c r="B26" s="1">
        <v>44544</v>
      </c>
      <c r="C26">
        <v>14</v>
      </c>
      <c r="D26" t="s">
        <v>20</v>
      </c>
      <c r="E26">
        <v>2021</v>
      </c>
      <c r="F26">
        <v>30</v>
      </c>
      <c r="G26" s="8" t="s">
        <v>29</v>
      </c>
      <c r="H26" t="s">
        <v>22</v>
      </c>
      <c r="I26" t="s">
        <v>23</v>
      </c>
      <c r="J26" t="s">
        <v>70</v>
      </c>
      <c r="K26" t="s">
        <v>25</v>
      </c>
      <c r="L26" t="s">
        <v>26</v>
      </c>
      <c r="M26" s="5" t="s">
        <v>36</v>
      </c>
      <c r="N26">
        <v>2</v>
      </c>
      <c r="O26" s="2">
        <v>1266</v>
      </c>
      <c r="P26" s="2">
        <v>2320</v>
      </c>
      <c r="Q26" s="2">
        <v>2108</v>
      </c>
      <c r="R26" s="2">
        <f t="shared" si="0"/>
        <v>2532</v>
      </c>
      <c r="S26" s="2">
        <f t="shared" si="1"/>
        <v>4640</v>
      </c>
    </row>
    <row r="27" spans="1:19">
      <c r="A27" s="3" t="s">
        <v>77</v>
      </c>
      <c r="B27" s="1">
        <v>44547</v>
      </c>
      <c r="C27">
        <v>17</v>
      </c>
      <c r="D27" t="s">
        <v>20</v>
      </c>
      <c r="E27">
        <v>2021</v>
      </c>
      <c r="F27">
        <v>37</v>
      </c>
      <c r="G27" s="8" t="s">
        <v>21</v>
      </c>
      <c r="H27" t="s">
        <v>22</v>
      </c>
      <c r="I27" t="s">
        <v>23</v>
      </c>
      <c r="J27" t="s">
        <v>70</v>
      </c>
      <c r="K27" t="s">
        <v>25</v>
      </c>
      <c r="L27" t="s">
        <v>26</v>
      </c>
      <c r="M27" s="5" t="s">
        <v>36</v>
      </c>
      <c r="N27">
        <v>2</v>
      </c>
      <c r="O27" s="2">
        <v>1266</v>
      </c>
      <c r="P27" s="2">
        <v>2320</v>
      </c>
      <c r="Q27" s="2">
        <v>2108</v>
      </c>
      <c r="R27" s="2">
        <f t="shared" si="0"/>
        <v>2532</v>
      </c>
      <c r="S27" s="2">
        <f t="shared" si="1"/>
        <v>4640</v>
      </c>
    </row>
    <row r="28" spans="1:19">
      <c r="A28" s="3" t="s">
        <v>78</v>
      </c>
      <c r="B28" s="1">
        <v>44533</v>
      </c>
      <c r="C28">
        <v>3</v>
      </c>
      <c r="D28" t="s">
        <v>20</v>
      </c>
      <c r="E28">
        <v>2021</v>
      </c>
      <c r="F28">
        <v>37</v>
      </c>
      <c r="G28" s="8" t="s">
        <v>21</v>
      </c>
      <c r="H28" t="s">
        <v>22</v>
      </c>
      <c r="I28" t="s">
        <v>23</v>
      </c>
      <c r="J28" t="s">
        <v>50</v>
      </c>
      <c r="K28" t="s">
        <v>25</v>
      </c>
      <c r="L28" t="s">
        <v>26</v>
      </c>
      <c r="M28" s="5" t="s">
        <v>51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>
      <c r="A29" s="3" t="s">
        <v>79</v>
      </c>
      <c r="B29" s="1">
        <v>44538</v>
      </c>
      <c r="C29">
        <v>8</v>
      </c>
      <c r="D29" t="s">
        <v>20</v>
      </c>
      <c r="E29">
        <v>2021</v>
      </c>
      <c r="F29">
        <v>39</v>
      </c>
      <c r="G29" s="8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s="5" t="s">
        <v>80</v>
      </c>
      <c r="N29">
        <v>2</v>
      </c>
      <c r="O29" s="2">
        <v>1252</v>
      </c>
      <c r="P29" s="2">
        <v>2295</v>
      </c>
      <c r="Q29" s="2">
        <v>2086</v>
      </c>
      <c r="R29" s="2">
        <f t="shared" si="0"/>
        <v>2504</v>
      </c>
      <c r="S29" s="2">
        <f t="shared" si="1"/>
        <v>4590</v>
      </c>
    </row>
    <row r="30" spans="1:19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29</v>
      </c>
      <c r="H30" t="s">
        <v>22</v>
      </c>
      <c r="I30" t="s">
        <v>23</v>
      </c>
      <c r="J30" t="s">
        <v>50</v>
      </c>
      <c r="K30" t="s">
        <v>25</v>
      </c>
      <c r="L30" t="s">
        <v>26</v>
      </c>
      <c r="M30" s="5" t="s">
        <v>63</v>
      </c>
      <c r="N30">
        <v>2</v>
      </c>
      <c r="O30" s="2">
        <v>1252</v>
      </c>
      <c r="P30" s="2">
        <v>2295</v>
      </c>
      <c r="Q30" s="2">
        <v>2086</v>
      </c>
      <c r="R30" s="2">
        <f t="shared" si="0"/>
        <v>2504</v>
      </c>
      <c r="S30" s="2">
        <f t="shared" si="1"/>
        <v>4590</v>
      </c>
    </row>
    <row r="31" spans="1:19">
      <c r="A31" s="3" t="s">
        <v>82</v>
      </c>
      <c r="B31" s="1">
        <v>44540</v>
      </c>
      <c r="C31">
        <v>10</v>
      </c>
      <c r="D31" t="s">
        <v>20</v>
      </c>
      <c r="E31">
        <v>2021</v>
      </c>
      <c r="F31">
        <v>40</v>
      </c>
      <c r="G31" s="8" t="s">
        <v>21</v>
      </c>
      <c r="H31" t="s">
        <v>46</v>
      </c>
      <c r="I31" t="s">
        <v>30</v>
      </c>
      <c r="J31" t="s">
        <v>38</v>
      </c>
      <c r="K31" t="s">
        <v>25</v>
      </c>
      <c r="L31" t="s">
        <v>26</v>
      </c>
      <c r="M31" s="5" t="s">
        <v>63</v>
      </c>
      <c r="N31">
        <v>2</v>
      </c>
      <c r="O31" s="2">
        <v>1252</v>
      </c>
      <c r="P31" s="2">
        <v>2295</v>
      </c>
      <c r="Q31" s="2">
        <v>2086</v>
      </c>
      <c r="R31" s="2">
        <f t="shared" si="0"/>
        <v>2504</v>
      </c>
      <c r="S31" s="2">
        <f t="shared" si="1"/>
        <v>4590</v>
      </c>
    </row>
    <row r="32" spans="1:19">
      <c r="A32" s="3" t="s">
        <v>83</v>
      </c>
      <c r="B32" s="1">
        <v>44542</v>
      </c>
      <c r="C32">
        <v>12</v>
      </c>
      <c r="D32" t="s">
        <v>20</v>
      </c>
      <c r="E32">
        <v>2021</v>
      </c>
      <c r="F32">
        <v>34</v>
      </c>
      <c r="G32" s="8" t="s">
        <v>29</v>
      </c>
      <c r="H32" t="s">
        <v>46</v>
      </c>
      <c r="I32" t="s">
        <v>30</v>
      </c>
      <c r="J32" t="s">
        <v>38</v>
      </c>
      <c r="K32" t="s">
        <v>25</v>
      </c>
      <c r="L32" t="s">
        <v>26</v>
      </c>
      <c r="M32" s="5" t="s">
        <v>54</v>
      </c>
      <c r="N32">
        <v>2</v>
      </c>
      <c r="O32" s="2">
        <v>1252</v>
      </c>
      <c r="P32" s="2">
        <v>2295</v>
      </c>
      <c r="Q32" s="2">
        <v>2086</v>
      </c>
      <c r="R32" s="2">
        <f t="shared" si="0"/>
        <v>2504</v>
      </c>
      <c r="S32" s="2">
        <f t="shared" si="1"/>
        <v>4590</v>
      </c>
    </row>
    <row r="33" spans="1:19">
      <c r="A33" s="3" t="s">
        <v>84</v>
      </c>
      <c r="B33" s="1">
        <v>44546</v>
      </c>
      <c r="C33">
        <v>16</v>
      </c>
      <c r="D33" t="s">
        <v>20</v>
      </c>
      <c r="E33">
        <v>2021</v>
      </c>
      <c r="F33">
        <v>33</v>
      </c>
      <c r="G33" s="8" t="s">
        <v>29</v>
      </c>
      <c r="H33" t="s">
        <v>22</v>
      </c>
      <c r="I33" t="s">
        <v>30</v>
      </c>
      <c r="J33" t="s">
        <v>38</v>
      </c>
      <c r="K33" t="s">
        <v>25</v>
      </c>
      <c r="L33" t="s">
        <v>26</v>
      </c>
      <c r="M33" s="5" t="s">
        <v>54</v>
      </c>
      <c r="N33">
        <v>2</v>
      </c>
      <c r="O33" s="2">
        <v>1252</v>
      </c>
      <c r="P33" s="2">
        <v>2295</v>
      </c>
      <c r="Q33" s="2">
        <v>2086</v>
      </c>
      <c r="R33" s="2">
        <f t="shared" si="0"/>
        <v>2504</v>
      </c>
      <c r="S33" s="2">
        <f t="shared" si="1"/>
        <v>4590</v>
      </c>
    </row>
    <row r="34" spans="1:19">
      <c r="A34" s="3" t="s">
        <v>85</v>
      </c>
      <c r="B34" s="1">
        <v>44546</v>
      </c>
      <c r="C34">
        <v>16</v>
      </c>
      <c r="D34" t="s">
        <v>20</v>
      </c>
      <c r="E34">
        <v>2021</v>
      </c>
      <c r="F34">
        <v>38</v>
      </c>
      <c r="G34" s="8" t="s">
        <v>21</v>
      </c>
      <c r="H34" t="s">
        <v>46</v>
      </c>
      <c r="I34" t="s">
        <v>30</v>
      </c>
      <c r="J34" t="s">
        <v>38</v>
      </c>
      <c r="K34" t="s">
        <v>25</v>
      </c>
      <c r="L34" t="s">
        <v>26</v>
      </c>
      <c r="M34" s="5" t="s">
        <v>54</v>
      </c>
      <c r="N34">
        <v>2</v>
      </c>
      <c r="O34" s="2">
        <v>1252</v>
      </c>
      <c r="P34" s="2">
        <v>2295</v>
      </c>
      <c r="Q34" s="2">
        <v>2086</v>
      </c>
      <c r="R34" s="2">
        <f t="shared" ref="R34:R65" si="2">N34*O34</f>
        <v>2504</v>
      </c>
      <c r="S34" s="2">
        <f t="shared" ref="S34:S65" si="3">N34*P34</f>
        <v>4590</v>
      </c>
    </row>
    <row r="35" spans="1:19">
      <c r="A35" s="3" t="s">
        <v>86</v>
      </c>
      <c r="B35" s="1">
        <v>44549</v>
      </c>
      <c r="C35">
        <v>19</v>
      </c>
      <c r="D35" t="s">
        <v>20</v>
      </c>
      <c r="E35">
        <v>2021</v>
      </c>
      <c r="F35">
        <v>56</v>
      </c>
      <c r="G35" s="8" t="s">
        <v>21</v>
      </c>
      <c r="H35" t="s">
        <v>22</v>
      </c>
      <c r="I35" t="s">
        <v>41</v>
      </c>
      <c r="J35" t="s">
        <v>87</v>
      </c>
      <c r="K35" t="s">
        <v>25</v>
      </c>
      <c r="L35" t="s">
        <v>26</v>
      </c>
      <c r="M35" s="5" t="s">
        <v>51</v>
      </c>
      <c r="N35">
        <v>2</v>
      </c>
      <c r="O35" s="2">
        <v>1252</v>
      </c>
      <c r="P35" s="2">
        <v>2295</v>
      </c>
      <c r="Q35" s="2">
        <v>2086</v>
      </c>
      <c r="R35" s="2">
        <f t="shared" si="2"/>
        <v>2504</v>
      </c>
      <c r="S35" s="2">
        <f t="shared" si="3"/>
        <v>4590</v>
      </c>
    </row>
    <row r="36" spans="1:19">
      <c r="A36" s="3" t="s">
        <v>88</v>
      </c>
      <c r="B36" s="1">
        <v>44540</v>
      </c>
      <c r="C36">
        <v>10</v>
      </c>
      <c r="D36" t="s">
        <v>20</v>
      </c>
      <c r="E36">
        <v>2021</v>
      </c>
      <c r="F36">
        <v>34</v>
      </c>
      <c r="G36" s="8" t="s">
        <v>29</v>
      </c>
      <c r="H36" t="s">
        <v>22</v>
      </c>
      <c r="I36" t="s">
        <v>23</v>
      </c>
      <c r="J36" t="s">
        <v>70</v>
      </c>
      <c r="K36" t="s">
        <v>25</v>
      </c>
      <c r="L36" t="s">
        <v>26</v>
      </c>
      <c r="M36" s="5" t="s">
        <v>89</v>
      </c>
      <c r="N36">
        <v>1</v>
      </c>
      <c r="O36" s="2">
        <v>1912</v>
      </c>
      <c r="P36" s="2">
        <v>3400</v>
      </c>
      <c r="Q36" s="2">
        <v>1488</v>
      </c>
      <c r="R36" s="2">
        <f t="shared" si="2"/>
        <v>1912</v>
      </c>
      <c r="S36" s="2">
        <f t="shared" si="3"/>
        <v>3400</v>
      </c>
    </row>
    <row r="37" spans="1:19">
      <c r="A37" s="3" t="s">
        <v>90</v>
      </c>
      <c r="B37" s="1">
        <v>44534</v>
      </c>
      <c r="C37">
        <v>4</v>
      </c>
      <c r="D37" t="s">
        <v>20</v>
      </c>
      <c r="E37">
        <v>2021</v>
      </c>
      <c r="F37">
        <v>31</v>
      </c>
      <c r="G37" s="8" t="s">
        <v>29</v>
      </c>
      <c r="H37" t="s">
        <v>22</v>
      </c>
      <c r="I37" t="s">
        <v>30</v>
      </c>
      <c r="J37" t="s">
        <v>38</v>
      </c>
      <c r="K37" t="s">
        <v>25</v>
      </c>
      <c r="L37" t="s">
        <v>26</v>
      </c>
      <c r="M37" s="5" t="s">
        <v>91</v>
      </c>
      <c r="N37">
        <v>4</v>
      </c>
      <c r="O37" s="2">
        <v>420</v>
      </c>
      <c r="P37" s="2">
        <v>769</v>
      </c>
      <c r="Q37" s="2">
        <v>1396</v>
      </c>
      <c r="R37" s="2">
        <f t="shared" si="2"/>
        <v>1680</v>
      </c>
      <c r="S37" s="2">
        <f t="shared" si="3"/>
        <v>3076</v>
      </c>
    </row>
    <row r="38" spans="1:19">
      <c r="A38" s="3" t="s">
        <v>92</v>
      </c>
      <c r="B38" s="1">
        <v>44537</v>
      </c>
      <c r="C38">
        <v>7</v>
      </c>
      <c r="D38" t="s">
        <v>20</v>
      </c>
      <c r="E38">
        <v>2021</v>
      </c>
      <c r="F38">
        <v>30</v>
      </c>
      <c r="G38" s="8" t="s">
        <v>29</v>
      </c>
      <c r="H38" t="s">
        <v>46</v>
      </c>
      <c r="I38" t="s">
        <v>23</v>
      </c>
      <c r="J38" t="s">
        <v>50</v>
      </c>
      <c r="K38" t="s">
        <v>25</v>
      </c>
      <c r="L38" t="s">
        <v>26</v>
      </c>
      <c r="M38" s="5" t="s">
        <v>93</v>
      </c>
      <c r="N38">
        <v>4</v>
      </c>
      <c r="O38" s="2">
        <v>420</v>
      </c>
      <c r="P38" s="2">
        <v>769</v>
      </c>
      <c r="Q38" s="2">
        <v>1396</v>
      </c>
      <c r="R38" s="2">
        <f t="shared" si="2"/>
        <v>1680</v>
      </c>
      <c r="S38" s="2">
        <f t="shared" si="3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46</v>
      </c>
      <c r="I39" t="s">
        <v>23</v>
      </c>
      <c r="J39" t="s">
        <v>50</v>
      </c>
      <c r="K39" t="s">
        <v>25</v>
      </c>
      <c r="L39" t="s">
        <v>26</v>
      </c>
      <c r="M39" s="5" t="s">
        <v>95</v>
      </c>
      <c r="N39">
        <v>4</v>
      </c>
      <c r="O39" s="2">
        <v>420</v>
      </c>
      <c r="P39" s="2">
        <v>769</v>
      </c>
      <c r="Q39" s="2">
        <v>1396</v>
      </c>
      <c r="R39" s="2">
        <f t="shared" si="2"/>
        <v>1680</v>
      </c>
      <c r="S39" s="2">
        <f t="shared" si="3"/>
        <v>3076</v>
      </c>
    </row>
    <row r="40" spans="1:19">
      <c r="A40" s="3" t="s">
        <v>96</v>
      </c>
      <c r="B40" s="1">
        <v>44531</v>
      </c>
      <c r="C40">
        <v>1</v>
      </c>
      <c r="D40" t="s">
        <v>20</v>
      </c>
      <c r="E40">
        <v>2021</v>
      </c>
      <c r="F40">
        <v>44</v>
      </c>
      <c r="G40" s="8" t="s">
        <v>21</v>
      </c>
      <c r="H40" t="s">
        <v>46</v>
      </c>
      <c r="I40" t="s">
        <v>97</v>
      </c>
      <c r="J40" t="s">
        <v>98</v>
      </c>
      <c r="K40" t="s">
        <v>25</v>
      </c>
      <c r="L40" t="s">
        <v>26</v>
      </c>
      <c r="M40" s="5" t="s">
        <v>39</v>
      </c>
      <c r="N40">
        <v>1</v>
      </c>
      <c r="O40" s="2">
        <v>1266</v>
      </c>
      <c r="P40" s="2">
        <v>2320</v>
      </c>
      <c r="Q40" s="2">
        <v>1054</v>
      </c>
      <c r="R40" s="2">
        <f t="shared" si="2"/>
        <v>1266</v>
      </c>
      <c r="S40" s="2">
        <f t="shared" si="3"/>
        <v>2320</v>
      </c>
    </row>
    <row r="41" spans="1:19">
      <c r="A41" s="3" t="s">
        <v>99</v>
      </c>
      <c r="B41" s="1">
        <v>44535</v>
      </c>
      <c r="C41">
        <v>5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30</v>
      </c>
      <c r="J41" t="s">
        <v>60</v>
      </c>
      <c r="K41" t="s">
        <v>25</v>
      </c>
      <c r="L41" t="s">
        <v>26</v>
      </c>
      <c r="M41" s="5" t="s">
        <v>36</v>
      </c>
      <c r="N41">
        <v>1</v>
      </c>
      <c r="O41" s="2">
        <v>1266</v>
      </c>
      <c r="P41" s="2">
        <v>2320</v>
      </c>
      <c r="Q41" s="2">
        <v>1054</v>
      </c>
      <c r="R41" s="2">
        <f t="shared" si="2"/>
        <v>1266</v>
      </c>
      <c r="S41" s="2">
        <f t="shared" si="3"/>
        <v>2320</v>
      </c>
    </row>
    <row r="42" spans="1:19">
      <c r="A42" s="3" t="s">
        <v>100</v>
      </c>
      <c r="B42" s="1">
        <v>44536</v>
      </c>
      <c r="C42">
        <v>6</v>
      </c>
      <c r="D42" t="s">
        <v>20</v>
      </c>
      <c r="E42">
        <v>2021</v>
      </c>
      <c r="F42">
        <v>47</v>
      </c>
      <c r="G42" s="8" t="s">
        <v>21</v>
      </c>
      <c r="H42" t="s">
        <v>46</v>
      </c>
      <c r="I42" t="s">
        <v>97</v>
      </c>
      <c r="J42" t="s">
        <v>98</v>
      </c>
      <c r="K42" t="s">
        <v>25</v>
      </c>
      <c r="L42" t="s">
        <v>26</v>
      </c>
      <c r="M42" s="5" t="s">
        <v>36</v>
      </c>
      <c r="N42">
        <v>1</v>
      </c>
      <c r="O42" s="2">
        <v>1266</v>
      </c>
      <c r="P42" s="2">
        <v>2320</v>
      </c>
      <c r="Q42" s="2">
        <v>1054</v>
      </c>
      <c r="R42" s="2">
        <f t="shared" si="2"/>
        <v>1266</v>
      </c>
      <c r="S42" s="2">
        <f t="shared" si="3"/>
        <v>2320</v>
      </c>
    </row>
    <row r="43" spans="1:19">
      <c r="A43" s="3" t="s">
        <v>101</v>
      </c>
      <c r="B43" s="1">
        <v>44539</v>
      </c>
      <c r="C43">
        <v>9</v>
      </c>
      <c r="D43" t="s">
        <v>20</v>
      </c>
      <c r="E43">
        <v>2021</v>
      </c>
      <c r="F43">
        <v>41</v>
      </c>
      <c r="G43" s="8" t="s">
        <v>21</v>
      </c>
      <c r="H43" t="s">
        <v>22</v>
      </c>
      <c r="I43" t="s">
        <v>41</v>
      </c>
      <c r="J43" t="s">
        <v>102</v>
      </c>
      <c r="K43" t="s">
        <v>25</v>
      </c>
      <c r="L43" t="s">
        <v>26</v>
      </c>
      <c r="M43" s="5" t="s">
        <v>51</v>
      </c>
      <c r="N43">
        <v>1</v>
      </c>
      <c r="O43" s="2">
        <v>1266</v>
      </c>
      <c r="P43" s="2">
        <v>2320</v>
      </c>
      <c r="Q43" s="2">
        <v>1054</v>
      </c>
      <c r="R43" s="2">
        <f t="shared" si="2"/>
        <v>1266</v>
      </c>
      <c r="S43" s="2">
        <f t="shared" si="3"/>
        <v>2320</v>
      </c>
    </row>
    <row r="44" spans="1:19">
      <c r="A44" s="3" t="s">
        <v>103</v>
      </c>
      <c r="B44" s="1">
        <v>44541</v>
      </c>
      <c r="C44">
        <v>11</v>
      </c>
      <c r="D44" t="s">
        <v>20</v>
      </c>
      <c r="E44">
        <v>2021</v>
      </c>
      <c r="F44">
        <v>38</v>
      </c>
      <c r="G44" s="8" t="s">
        <v>21</v>
      </c>
      <c r="H44" t="s">
        <v>22</v>
      </c>
      <c r="I44" t="s">
        <v>23</v>
      </c>
      <c r="J44" t="s">
        <v>50</v>
      </c>
      <c r="K44" t="s">
        <v>25</v>
      </c>
      <c r="L44" t="s">
        <v>26</v>
      </c>
      <c r="M44" s="5" t="s">
        <v>36</v>
      </c>
      <c r="N44">
        <v>1</v>
      </c>
      <c r="O44" s="2">
        <v>1266</v>
      </c>
      <c r="P44" s="2">
        <v>2320</v>
      </c>
      <c r="Q44" s="2">
        <v>1054</v>
      </c>
      <c r="R44" s="2">
        <f t="shared" si="2"/>
        <v>1266</v>
      </c>
      <c r="S44" s="2">
        <f t="shared" si="3"/>
        <v>2320</v>
      </c>
    </row>
    <row r="45" spans="1:19">
      <c r="A45" s="3" t="s">
        <v>104</v>
      </c>
      <c r="B45" s="1">
        <v>44542</v>
      </c>
      <c r="C45">
        <v>12</v>
      </c>
      <c r="D45" t="s">
        <v>20</v>
      </c>
      <c r="E45">
        <v>2021</v>
      </c>
      <c r="F45">
        <v>35</v>
      </c>
      <c r="G45" s="8" t="s">
        <v>21</v>
      </c>
      <c r="H45" t="s">
        <v>22</v>
      </c>
      <c r="I45" t="s">
        <v>30</v>
      </c>
      <c r="J45" t="s">
        <v>31</v>
      </c>
      <c r="K45" t="s">
        <v>25</v>
      </c>
      <c r="L45" t="s">
        <v>26</v>
      </c>
      <c r="M45" s="5" t="s">
        <v>39</v>
      </c>
      <c r="N45">
        <v>1</v>
      </c>
      <c r="O45" s="2">
        <v>1266</v>
      </c>
      <c r="P45" s="2">
        <v>2320</v>
      </c>
      <c r="Q45" s="2">
        <v>1054</v>
      </c>
      <c r="R45" s="2">
        <f t="shared" si="2"/>
        <v>1266</v>
      </c>
      <c r="S45" s="2">
        <f t="shared" si="3"/>
        <v>2320</v>
      </c>
    </row>
    <row r="46" spans="1:19">
      <c r="A46" s="3" t="s">
        <v>105</v>
      </c>
      <c r="B46" s="1">
        <v>44542</v>
      </c>
      <c r="C46">
        <v>12</v>
      </c>
      <c r="D46" t="s">
        <v>20</v>
      </c>
      <c r="E46">
        <v>2021</v>
      </c>
      <c r="F46">
        <v>38</v>
      </c>
      <c r="G46" s="8" t="s">
        <v>21</v>
      </c>
      <c r="H46" t="s">
        <v>22</v>
      </c>
      <c r="I46" t="s">
        <v>23</v>
      </c>
      <c r="J46" t="s">
        <v>70</v>
      </c>
      <c r="K46" t="s">
        <v>25</v>
      </c>
      <c r="L46" t="s">
        <v>26</v>
      </c>
      <c r="M46" s="5" t="s">
        <v>39</v>
      </c>
      <c r="N46">
        <v>1</v>
      </c>
      <c r="O46" s="2">
        <v>1266</v>
      </c>
      <c r="P46" s="2">
        <v>2320</v>
      </c>
      <c r="Q46" s="2">
        <v>1054</v>
      </c>
      <c r="R46" s="2">
        <f t="shared" si="2"/>
        <v>1266</v>
      </c>
      <c r="S46" s="2">
        <f t="shared" si="3"/>
        <v>2320</v>
      </c>
    </row>
    <row r="47" spans="1:19">
      <c r="A47" s="3" t="s">
        <v>106</v>
      </c>
      <c r="B47" s="1">
        <v>44545</v>
      </c>
      <c r="C47">
        <v>15</v>
      </c>
      <c r="D47" t="s">
        <v>20</v>
      </c>
      <c r="E47">
        <v>2021</v>
      </c>
      <c r="F47">
        <v>29</v>
      </c>
      <c r="G47" s="8" t="s">
        <v>29</v>
      </c>
      <c r="H47" t="s">
        <v>22</v>
      </c>
      <c r="I47" t="s">
        <v>23</v>
      </c>
      <c r="J47" t="s">
        <v>50</v>
      </c>
      <c r="K47" t="s">
        <v>25</v>
      </c>
      <c r="L47" t="s">
        <v>26</v>
      </c>
      <c r="M47" s="5" t="s">
        <v>39</v>
      </c>
      <c r="N47">
        <v>1</v>
      </c>
      <c r="O47" s="2">
        <v>1266</v>
      </c>
      <c r="P47" s="2">
        <v>2320</v>
      </c>
      <c r="Q47" s="2">
        <v>1054</v>
      </c>
      <c r="R47" s="2">
        <f t="shared" si="2"/>
        <v>1266</v>
      </c>
      <c r="S47" s="2">
        <f t="shared" si="3"/>
        <v>2320</v>
      </c>
    </row>
    <row r="48" spans="1:19">
      <c r="A48" s="3" t="s">
        <v>107</v>
      </c>
      <c r="B48" s="1">
        <v>44546</v>
      </c>
      <c r="C48">
        <v>16</v>
      </c>
      <c r="D48" t="s">
        <v>20</v>
      </c>
      <c r="E48">
        <v>2021</v>
      </c>
      <c r="F48">
        <v>27</v>
      </c>
      <c r="G48" s="8" t="s">
        <v>29</v>
      </c>
      <c r="H48" t="s">
        <v>22</v>
      </c>
      <c r="I48" t="s">
        <v>47</v>
      </c>
      <c r="J48" t="s">
        <v>108</v>
      </c>
      <c r="K48" t="s">
        <v>25</v>
      </c>
      <c r="L48" t="s">
        <v>26</v>
      </c>
      <c r="M48" s="5" t="s">
        <v>43</v>
      </c>
      <c r="N48">
        <v>1</v>
      </c>
      <c r="O48" s="2">
        <v>1266</v>
      </c>
      <c r="P48" s="2">
        <v>2320</v>
      </c>
      <c r="Q48" s="2">
        <v>1054</v>
      </c>
      <c r="R48" s="2">
        <f t="shared" si="2"/>
        <v>1266</v>
      </c>
      <c r="S48" s="2">
        <f t="shared" si="3"/>
        <v>2320</v>
      </c>
    </row>
    <row r="49" spans="1:19">
      <c r="A49" s="3" t="s">
        <v>109</v>
      </c>
      <c r="B49" s="1">
        <v>44547</v>
      </c>
      <c r="C49">
        <v>17</v>
      </c>
      <c r="D49" t="s">
        <v>20</v>
      </c>
      <c r="E49">
        <v>2021</v>
      </c>
      <c r="F49">
        <v>42</v>
      </c>
      <c r="G49" s="8" t="s">
        <v>21</v>
      </c>
      <c r="H49" t="s">
        <v>22</v>
      </c>
      <c r="I49" t="s">
        <v>41</v>
      </c>
      <c r="J49" t="s">
        <v>42</v>
      </c>
      <c r="K49" t="s">
        <v>25</v>
      </c>
      <c r="L49" t="s">
        <v>26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2"/>
        <v>1266</v>
      </c>
      <c r="S49" s="2">
        <f t="shared" si="3"/>
        <v>2320</v>
      </c>
    </row>
    <row r="50" spans="1:19">
      <c r="A50" s="3" t="s">
        <v>110</v>
      </c>
      <c r="B50" s="1">
        <v>44548</v>
      </c>
      <c r="C50">
        <v>18</v>
      </c>
      <c r="D50" t="s">
        <v>20</v>
      </c>
      <c r="E50">
        <v>2021</v>
      </c>
      <c r="F50">
        <v>36</v>
      </c>
      <c r="G50" s="8" t="s">
        <v>21</v>
      </c>
      <c r="H50" t="s">
        <v>46</v>
      </c>
      <c r="I50" t="s">
        <v>23</v>
      </c>
      <c r="J50" t="s">
        <v>70</v>
      </c>
      <c r="K50" t="s">
        <v>25</v>
      </c>
      <c r="L50" t="s">
        <v>26</v>
      </c>
      <c r="M50" s="5" t="s">
        <v>36</v>
      </c>
      <c r="N50">
        <v>1</v>
      </c>
      <c r="O50" s="2">
        <v>1266</v>
      </c>
      <c r="P50" s="2">
        <v>2320</v>
      </c>
      <c r="Q50" s="2">
        <v>1054</v>
      </c>
      <c r="R50" s="2">
        <f t="shared" si="2"/>
        <v>1266</v>
      </c>
      <c r="S50" s="2">
        <f t="shared" si="3"/>
        <v>2320</v>
      </c>
    </row>
    <row r="51" spans="1:19">
      <c r="A51" s="3" t="s">
        <v>111</v>
      </c>
      <c r="B51" s="1">
        <v>44549</v>
      </c>
      <c r="C51">
        <v>19</v>
      </c>
      <c r="D51" t="s">
        <v>20</v>
      </c>
      <c r="E51">
        <v>2021</v>
      </c>
      <c r="F51">
        <v>39</v>
      </c>
      <c r="G51" s="8" t="s">
        <v>21</v>
      </c>
      <c r="H51" t="s">
        <v>22</v>
      </c>
      <c r="I51" t="s">
        <v>23</v>
      </c>
      <c r="J51" t="s">
        <v>70</v>
      </c>
      <c r="K51" t="s">
        <v>25</v>
      </c>
      <c r="L51" t="s">
        <v>26</v>
      </c>
      <c r="M51" s="5" t="s">
        <v>36</v>
      </c>
      <c r="N51">
        <v>1</v>
      </c>
      <c r="O51" s="2">
        <v>1266</v>
      </c>
      <c r="P51" s="2">
        <v>2320</v>
      </c>
      <c r="Q51" s="2">
        <v>1054</v>
      </c>
      <c r="R51" s="2">
        <f t="shared" si="2"/>
        <v>1266</v>
      </c>
      <c r="S51" s="2">
        <f t="shared" si="3"/>
        <v>2320</v>
      </c>
    </row>
    <row r="52" spans="1:19">
      <c r="A52" s="3" t="s">
        <v>112</v>
      </c>
      <c r="B52" s="1">
        <v>44550</v>
      </c>
      <c r="C52">
        <v>20</v>
      </c>
      <c r="D52" t="s">
        <v>20</v>
      </c>
      <c r="E52">
        <v>2021</v>
      </c>
      <c r="F52">
        <v>35</v>
      </c>
      <c r="G52" s="8" t="s">
        <v>21</v>
      </c>
      <c r="H52" t="s">
        <v>22</v>
      </c>
      <c r="I52" t="s">
        <v>30</v>
      </c>
      <c r="J52" t="s">
        <v>60</v>
      </c>
      <c r="K52" t="s">
        <v>25</v>
      </c>
      <c r="L52" t="s">
        <v>26</v>
      </c>
      <c r="M52" s="5" t="s">
        <v>36</v>
      </c>
      <c r="N52">
        <v>1</v>
      </c>
      <c r="O52" s="2">
        <v>1266</v>
      </c>
      <c r="P52" s="2">
        <v>2320</v>
      </c>
      <c r="Q52" s="2">
        <v>1054</v>
      </c>
      <c r="R52" s="2">
        <f t="shared" si="2"/>
        <v>1266</v>
      </c>
      <c r="S52" s="2">
        <f t="shared" si="3"/>
        <v>2320</v>
      </c>
    </row>
    <row r="53" spans="1:19">
      <c r="A53" s="3" t="s">
        <v>113</v>
      </c>
      <c r="B53" s="1">
        <v>44550</v>
      </c>
      <c r="C53">
        <v>20</v>
      </c>
      <c r="D53" t="s">
        <v>20</v>
      </c>
      <c r="E53">
        <v>2021</v>
      </c>
      <c r="F53">
        <v>35</v>
      </c>
      <c r="G53" s="8" t="s">
        <v>21</v>
      </c>
      <c r="H53" t="s">
        <v>46</v>
      </c>
      <c r="I53" t="s">
        <v>30</v>
      </c>
      <c r="J53" t="s">
        <v>31</v>
      </c>
      <c r="K53" t="s">
        <v>25</v>
      </c>
      <c r="L53" t="s">
        <v>26</v>
      </c>
      <c r="M53" s="5" t="s">
        <v>36</v>
      </c>
      <c r="N53">
        <v>1</v>
      </c>
      <c r="O53" s="2">
        <v>1266</v>
      </c>
      <c r="P53" s="2">
        <v>2320</v>
      </c>
      <c r="Q53" s="2">
        <v>1054</v>
      </c>
      <c r="R53" s="2">
        <f t="shared" si="2"/>
        <v>1266</v>
      </c>
      <c r="S53" s="2">
        <f t="shared" si="3"/>
        <v>2320</v>
      </c>
    </row>
    <row r="54" spans="1:19">
      <c r="A54" s="3" t="s">
        <v>114</v>
      </c>
      <c r="B54" s="1">
        <v>44552</v>
      </c>
      <c r="C54">
        <v>22</v>
      </c>
      <c r="D54" t="s">
        <v>20</v>
      </c>
      <c r="E54">
        <v>2021</v>
      </c>
      <c r="F54">
        <v>41</v>
      </c>
      <c r="G54" s="8" t="s">
        <v>21</v>
      </c>
      <c r="H54" t="s">
        <v>46</v>
      </c>
      <c r="I54" t="s">
        <v>41</v>
      </c>
      <c r="J54" t="s">
        <v>87</v>
      </c>
      <c r="K54" t="s">
        <v>25</v>
      </c>
      <c r="L54" t="s">
        <v>26</v>
      </c>
      <c r="M54" s="5" t="s">
        <v>36</v>
      </c>
      <c r="N54">
        <v>1</v>
      </c>
      <c r="O54" s="2">
        <v>1266</v>
      </c>
      <c r="P54" s="2">
        <v>2320</v>
      </c>
      <c r="Q54" s="2">
        <v>1054</v>
      </c>
      <c r="R54" s="2">
        <f t="shared" si="2"/>
        <v>1266</v>
      </c>
      <c r="S54" s="2">
        <f t="shared" si="3"/>
        <v>2320</v>
      </c>
    </row>
    <row r="55" spans="1:19">
      <c r="A55" s="3" t="s">
        <v>115</v>
      </c>
      <c r="B55" s="1">
        <v>44553</v>
      </c>
      <c r="C55">
        <v>23</v>
      </c>
      <c r="D55" t="s">
        <v>20</v>
      </c>
      <c r="E55">
        <v>2021</v>
      </c>
      <c r="F55">
        <v>30</v>
      </c>
      <c r="G55" s="8" t="s">
        <v>29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s="5" t="s">
        <v>39</v>
      </c>
      <c r="N55">
        <v>1</v>
      </c>
      <c r="O55" s="2">
        <v>1266</v>
      </c>
      <c r="P55" s="2">
        <v>2320</v>
      </c>
      <c r="Q55" s="2">
        <v>1054</v>
      </c>
      <c r="R55" s="2">
        <f t="shared" si="2"/>
        <v>1266</v>
      </c>
      <c r="S55" s="2">
        <f t="shared" si="3"/>
        <v>2320</v>
      </c>
    </row>
    <row r="56" spans="1:19">
      <c r="A56" s="3" t="s">
        <v>116</v>
      </c>
      <c r="B56" s="1">
        <v>44536</v>
      </c>
      <c r="C56">
        <v>6</v>
      </c>
      <c r="D56" t="s">
        <v>20</v>
      </c>
      <c r="E56">
        <v>2021</v>
      </c>
      <c r="F56">
        <v>23</v>
      </c>
      <c r="G56" s="8" t="s">
        <v>45</v>
      </c>
      <c r="H56" t="s">
        <v>46</v>
      </c>
      <c r="I56" t="s">
        <v>97</v>
      </c>
      <c r="J56" t="s">
        <v>98</v>
      </c>
      <c r="K56" t="s">
        <v>25</v>
      </c>
      <c r="L56" t="s">
        <v>26</v>
      </c>
      <c r="M56" s="5" t="s">
        <v>95</v>
      </c>
      <c r="N56">
        <v>3</v>
      </c>
      <c r="O56" s="2">
        <v>420</v>
      </c>
      <c r="P56" s="2">
        <v>769</v>
      </c>
      <c r="Q56" s="2">
        <v>1047</v>
      </c>
      <c r="R56" s="2">
        <f t="shared" si="2"/>
        <v>1260</v>
      </c>
      <c r="S56" s="2">
        <f t="shared" si="3"/>
        <v>2307</v>
      </c>
    </row>
    <row r="57" spans="1:19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26</v>
      </c>
      <c r="G57" s="8" t="s">
        <v>29</v>
      </c>
      <c r="H57" t="s">
        <v>22</v>
      </c>
      <c r="I57" t="s">
        <v>97</v>
      </c>
      <c r="J57" t="s">
        <v>98</v>
      </c>
      <c r="K57" t="s">
        <v>25</v>
      </c>
      <c r="L57" t="s">
        <v>26</v>
      </c>
      <c r="M57" s="5" t="s">
        <v>91</v>
      </c>
      <c r="N57">
        <v>3</v>
      </c>
      <c r="O57" s="2">
        <v>420</v>
      </c>
      <c r="P57" s="2">
        <v>769</v>
      </c>
      <c r="Q57" s="2">
        <v>1047</v>
      </c>
      <c r="R57" s="2">
        <f t="shared" si="2"/>
        <v>1260</v>
      </c>
      <c r="S57" s="2">
        <f t="shared" si="3"/>
        <v>2307</v>
      </c>
    </row>
    <row r="58" spans="1:19">
      <c r="A58" s="3" t="s">
        <v>118</v>
      </c>
      <c r="B58" s="1">
        <v>44533</v>
      </c>
      <c r="C58">
        <v>3</v>
      </c>
      <c r="D58" t="s">
        <v>20</v>
      </c>
      <c r="E58">
        <v>2021</v>
      </c>
      <c r="F58">
        <v>24</v>
      </c>
      <c r="G58" s="8" t="s">
        <v>45</v>
      </c>
      <c r="H58" t="s">
        <v>22</v>
      </c>
      <c r="I58" t="s">
        <v>97</v>
      </c>
      <c r="J58" t="s">
        <v>98</v>
      </c>
      <c r="K58" t="s">
        <v>25</v>
      </c>
      <c r="L58" t="s">
        <v>26</v>
      </c>
      <c r="M58" s="5" t="s">
        <v>54</v>
      </c>
      <c r="N58">
        <v>1</v>
      </c>
      <c r="O58" s="2">
        <v>1252</v>
      </c>
      <c r="P58" s="2">
        <v>2295</v>
      </c>
      <c r="Q58" s="2">
        <v>1043</v>
      </c>
      <c r="R58" s="2">
        <f t="shared" si="2"/>
        <v>1252</v>
      </c>
      <c r="S58" s="2">
        <f t="shared" si="3"/>
        <v>2295</v>
      </c>
    </row>
    <row r="59" spans="1:19">
      <c r="A59" s="3" t="s">
        <v>119</v>
      </c>
      <c r="B59" s="1">
        <v>44533</v>
      </c>
      <c r="C59">
        <v>3</v>
      </c>
      <c r="D59" t="s">
        <v>20</v>
      </c>
      <c r="E59">
        <v>2021</v>
      </c>
      <c r="F59">
        <v>37</v>
      </c>
      <c r="G59" s="8" t="s">
        <v>21</v>
      </c>
      <c r="H59" t="s">
        <v>46</v>
      </c>
      <c r="I59" t="s">
        <v>23</v>
      </c>
      <c r="J59" t="s">
        <v>70</v>
      </c>
      <c r="K59" t="s">
        <v>25</v>
      </c>
      <c r="L59" t="s">
        <v>26</v>
      </c>
      <c r="M59" s="5" t="s">
        <v>51</v>
      </c>
      <c r="N59">
        <v>1</v>
      </c>
      <c r="O59" s="2">
        <v>1252</v>
      </c>
      <c r="P59" s="2">
        <v>2295</v>
      </c>
      <c r="Q59" s="2">
        <v>1043</v>
      </c>
      <c r="R59" s="2">
        <f t="shared" si="2"/>
        <v>1252</v>
      </c>
      <c r="S59" s="2">
        <f t="shared" si="3"/>
        <v>2295</v>
      </c>
    </row>
    <row r="60" spans="1:19">
      <c r="A60" s="3" t="s">
        <v>120</v>
      </c>
      <c r="B60" s="1">
        <v>44535</v>
      </c>
      <c r="C60">
        <v>5</v>
      </c>
      <c r="D60" t="s">
        <v>20</v>
      </c>
      <c r="E60">
        <v>2021</v>
      </c>
      <c r="F60">
        <v>37</v>
      </c>
      <c r="G60" s="8" t="s">
        <v>21</v>
      </c>
      <c r="H60" t="s">
        <v>22</v>
      </c>
      <c r="I60" t="s">
        <v>23</v>
      </c>
      <c r="J60" t="s">
        <v>50</v>
      </c>
      <c r="K60" t="s">
        <v>25</v>
      </c>
      <c r="L60" t="s">
        <v>26</v>
      </c>
      <c r="M60" s="5" t="s">
        <v>51</v>
      </c>
      <c r="N60">
        <v>1</v>
      </c>
      <c r="O60" s="2">
        <v>1252</v>
      </c>
      <c r="P60" s="2">
        <v>2295</v>
      </c>
      <c r="Q60" s="2">
        <v>1043</v>
      </c>
      <c r="R60" s="2">
        <f t="shared" si="2"/>
        <v>1252</v>
      </c>
      <c r="S60" s="2">
        <f t="shared" si="3"/>
        <v>2295</v>
      </c>
    </row>
    <row r="61" spans="1:19">
      <c r="A61" s="3" t="s">
        <v>121</v>
      </c>
      <c r="B61" s="1">
        <v>44536</v>
      </c>
      <c r="C61">
        <v>6</v>
      </c>
      <c r="D61" t="s">
        <v>20</v>
      </c>
      <c r="E61">
        <v>2021</v>
      </c>
      <c r="F61">
        <v>27</v>
      </c>
      <c r="G61" s="8" t="s">
        <v>29</v>
      </c>
      <c r="H61" t="s">
        <v>46</v>
      </c>
      <c r="I61" t="s">
        <v>34</v>
      </c>
      <c r="J61" t="s">
        <v>35</v>
      </c>
      <c r="K61" t="s">
        <v>25</v>
      </c>
      <c r="L61" t="s">
        <v>26</v>
      </c>
      <c r="M61" s="5" t="s">
        <v>51</v>
      </c>
      <c r="N61">
        <v>1</v>
      </c>
      <c r="O61" s="2">
        <v>1252</v>
      </c>
      <c r="P61" s="2">
        <v>2295</v>
      </c>
      <c r="Q61" s="2">
        <v>1043</v>
      </c>
      <c r="R61" s="2">
        <f t="shared" si="2"/>
        <v>1252</v>
      </c>
      <c r="S61" s="2">
        <f t="shared" si="3"/>
        <v>2295</v>
      </c>
    </row>
    <row r="62" spans="1:19">
      <c r="A62" s="3" t="s">
        <v>122</v>
      </c>
      <c r="B62" s="1">
        <v>44536</v>
      </c>
      <c r="C62">
        <v>6</v>
      </c>
      <c r="D62" t="s">
        <v>20</v>
      </c>
      <c r="E62">
        <v>2021</v>
      </c>
      <c r="F62">
        <v>36</v>
      </c>
      <c r="G62" s="8" t="s">
        <v>21</v>
      </c>
      <c r="H62" t="s">
        <v>46</v>
      </c>
      <c r="I62" t="s">
        <v>30</v>
      </c>
      <c r="J62" t="s">
        <v>38</v>
      </c>
      <c r="K62" t="s">
        <v>25</v>
      </c>
      <c r="L62" t="s">
        <v>26</v>
      </c>
      <c r="M62" s="5" t="s">
        <v>63</v>
      </c>
      <c r="N62">
        <v>1</v>
      </c>
      <c r="O62" s="2">
        <v>1252</v>
      </c>
      <c r="P62" s="2">
        <v>2295</v>
      </c>
      <c r="Q62" s="2">
        <v>1043</v>
      </c>
      <c r="R62" s="2">
        <f t="shared" si="2"/>
        <v>1252</v>
      </c>
      <c r="S62" s="2">
        <f t="shared" si="3"/>
        <v>2295</v>
      </c>
    </row>
    <row r="63" spans="1:19">
      <c r="A63" s="3" t="s">
        <v>123</v>
      </c>
      <c r="B63" s="1">
        <v>44540</v>
      </c>
      <c r="C63">
        <v>10</v>
      </c>
      <c r="D63" t="s">
        <v>20</v>
      </c>
      <c r="E63">
        <v>2021</v>
      </c>
      <c r="F63">
        <v>26</v>
      </c>
      <c r="G63" s="8" t="s">
        <v>29</v>
      </c>
      <c r="H63" t="s">
        <v>46</v>
      </c>
      <c r="I63" t="s">
        <v>97</v>
      </c>
      <c r="J63" t="s">
        <v>98</v>
      </c>
      <c r="K63" t="s">
        <v>25</v>
      </c>
      <c r="L63" t="s">
        <v>26</v>
      </c>
      <c r="M63" s="5" t="s">
        <v>54</v>
      </c>
      <c r="N63">
        <v>1</v>
      </c>
      <c r="O63" s="2">
        <v>1252</v>
      </c>
      <c r="P63" s="2">
        <v>2295</v>
      </c>
      <c r="Q63" s="2">
        <v>1043</v>
      </c>
      <c r="R63" s="2">
        <f t="shared" si="2"/>
        <v>1252</v>
      </c>
      <c r="S63" s="2">
        <f t="shared" si="3"/>
        <v>2295</v>
      </c>
    </row>
    <row r="64" spans="1:19">
      <c r="A64" s="3" t="s">
        <v>124</v>
      </c>
      <c r="B64" s="1">
        <v>44540</v>
      </c>
      <c r="C64">
        <v>10</v>
      </c>
      <c r="D64" t="s">
        <v>20</v>
      </c>
      <c r="E64">
        <v>2021</v>
      </c>
      <c r="F64">
        <v>38</v>
      </c>
      <c r="G64" s="8" t="s">
        <v>21</v>
      </c>
      <c r="H64" t="s">
        <v>46</v>
      </c>
      <c r="I64" t="s">
        <v>30</v>
      </c>
      <c r="J64" t="s">
        <v>38</v>
      </c>
      <c r="K64" t="s">
        <v>25</v>
      </c>
      <c r="L64" t="s">
        <v>26</v>
      </c>
      <c r="M64" s="5" t="s">
        <v>54</v>
      </c>
      <c r="N64">
        <v>1</v>
      </c>
      <c r="O64" s="2">
        <v>1252</v>
      </c>
      <c r="P64" s="2">
        <v>2295</v>
      </c>
      <c r="Q64" s="2">
        <v>1043</v>
      </c>
      <c r="R64" s="2">
        <f t="shared" si="2"/>
        <v>1252</v>
      </c>
      <c r="S64" s="2">
        <f t="shared" si="3"/>
        <v>2295</v>
      </c>
    </row>
    <row r="65" spans="1:19">
      <c r="A65" s="3" t="s">
        <v>125</v>
      </c>
      <c r="B65" s="1">
        <v>44541</v>
      </c>
      <c r="C65">
        <v>11</v>
      </c>
      <c r="D65" t="s">
        <v>20</v>
      </c>
      <c r="E65">
        <v>2021</v>
      </c>
      <c r="F65">
        <v>27</v>
      </c>
      <c r="G65" s="8" t="s">
        <v>29</v>
      </c>
      <c r="H65" t="s">
        <v>46</v>
      </c>
      <c r="I65" t="s">
        <v>34</v>
      </c>
      <c r="J65" t="s">
        <v>35</v>
      </c>
      <c r="K65" t="s">
        <v>25</v>
      </c>
      <c r="L65" t="s">
        <v>26</v>
      </c>
      <c r="M65" s="5" t="s">
        <v>51</v>
      </c>
      <c r="N65">
        <v>1</v>
      </c>
      <c r="O65" s="2">
        <v>1252</v>
      </c>
      <c r="P65" s="2">
        <v>2295</v>
      </c>
      <c r="Q65" s="2">
        <v>1043</v>
      </c>
      <c r="R65" s="2">
        <f t="shared" si="2"/>
        <v>1252</v>
      </c>
      <c r="S65" s="2">
        <f t="shared" si="3"/>
        <v>2295</v>
      </c>
    </row>
    <row r="66" spans="1:19">
      <c r="A66" s="3" t="s">
        <v>126</v>
      </c>
      <c r="B66" s="1">
        <v>44543</v>
      </c>
      <c r="C66">
        <v>13</v>
      </c>
      <c r="D66" t="s">
        <v>20</v>
      </c>
      <c r="E66">
        <v>2021</v>
      </c>
      <c r="F66">
        <v>44</v>
      </c>
      <c r="G66" s="8" t="s">
        <v>21</v>
      </c>
      <c r="H66" t="s">
        <v>22</v>
      </c>
      <c r="I66" t="s">
        <v>97</v>
      </c>
      <c r="J66" t="s">
        <v>98</v>
      </c>
      <c r="K66" t="s">
        <v>25</v>
      </c>
      <c r="L66" t="s">
        <v>26</v>
      </c>
      <c r="M66" s="5" t="s">
        <v>54</v>
      </c>
      <c r="N66">
        <v>1</v>
      </c>
      <c r="O66" s="2">
        <v>1252</v>
      </c>
      <c r="P66" s="2">
        <v>2295</v>
      </c>
      <c r="Q66" s="2">
        <v>1043</v>
      </c>
      <c r="R66" s="2">
        <f t="shared" ref="R66:R89" si="4">N66*O66</f>
        <v>1252</v>
      </c>
      <c r="S66" s="2">
        <f t="shared" ref="S66:S89" si="5">N66*P66</f>
        <v>2295</v>
      </c>
    </row>
    <row r="67" spans="1:19">
      <c r="A67" s="3" t="s">
        <v>127</v>
      </c>
      <c r="B67" s="1">
        <v>44543</v>
      </c>
      <c r="C67">
        <v>13</v>
      </c>
      <c r="D67" t="s">
        <v>20</v>
      </c>
      <c r="E67">
        <v>2021</v>
      </c>
      <c r="F67">
        <v>49</v>
      </c>
      <c r="G67" s="8" t="s">
        <v>21</v>
      </c>
      <c r="H67" t="s">
        <v>46</v>
      </c>
      <c r="I67" t="s">
        <v>97</v>
      </c>
      <c r="J67" t="s">
        <v>98</v>
      </c>
      <c r="K67" t="s">
        <v>25</v>
      </c>
      <c r="L67" t="s">
        <v>26</v>
      </c>
      <c r="M67" s="5" t="s">
        <v>54</v>
      </c>
      <c r="N67">
        <v>1</v>
      </c>
      <c r="O67" s="2">
        <v>1252</v>
      </c>
      <c r="P67" s="2">
        <v>2295</v>
      </c>
      <c r="Q67" s="2">
        <v>1043</v>
      </c>
      <c r="R67" s="2">
        <f t="shared" si="4"/>
        <v>1252</v>
      </c>
      <c r="S67" s="2">
        <f t="shared" si="5"/>
        <v>2295</v>
      </c>
    </row>
    <row r="68" spans="1:19">
      <c r="A68" s="3" t="s">
        <v>128</v>
      </c>
      <c r="B68" s="1">
        <v>44544</v>
      </c>
      <c r="C68">
        <v>14</v>
      </c>
      <c r="D68" t="s">
        <v>20</v>
      </c>
      <c r="E68">
        <v>2021</v>
      </c>
      <c r="F68">
        <v>32</v>
      </c>
      <c r="G68" s="8" t="s">
        <v>29</v>
      </c>
      <c r="H68" t="s">
        <v>46</v>
      </c>
      <c r="I68" t="s">
        <v>23</v>
      </c>
      <c r="J68" t="s">
        <v>50</v>
      </c>
      <c r="K68" t="s">
        <v>25</v>
      </c>
      <c r="L68" t="s">
        <v>26</v>
      </c>
      <c r="M68" s="5" t="s">
        <v>51</v>
      </c>
      <c r="N68">
        <v>1</v>
      </c>
      <c r="O68" s="2">
        <v>1252</v>
      </c>
      <c r="P68" s="2">
        <v>2295</v>
      </c>
      <c r="Q68" s="2">
        <v>1043</v>
      </c>
      <c r="R68" s="2">
        <f t="shared" si="4"/>
        <v>1252</v>
      </c>
      <c r="S68" s="2">
        <f t="shared" si="5"/>
        <v>2295</v>
      </c>
    </row>
    <row r="69" spans="1:19">
      <c r="A69" s="3" t="s">
        <v>129</v>
      </c>
      <c r="B69" s="1">
        <v>44548</v>
      </c>
      <c r="C69">
        <v>18</v>
      </c>
      <c r="D69" t="s">
        <v>20</v>
      </c>
      <c r="E69">
        <v>2021</v>
      </c>
      <c r="F69">
        <v>26</v>
      </c>
      <c r="G69" s="8" t="s">
        <v>29</v>
      </c>
      <c r="H69" t="s">
        <v>46</v>
      </c>
      <c r="I69" t="s">
        <v>47</v>
      </c>
      <c r="J69" t="s">
        <v>56</v>
      </c>
      <c r="K69" t="s">
        <v>25</v>
      </c>
      <c r="L69" t="s">
        <v>26</v>
      </c>
      <c r="M69" s="5" t="s">
        <v>51</v>
      </c>
      <c r="N69">
        <v>1</v>
      </c>
      <c r="O69" s="2">
        <v>1252</v>
      </c>
      <c r="P69" s="2">
        <v>2295</v>
      </c>
      <c r="Q69" s="2">
        <v>1043</v>
      </c>
      <c r="R69" s="2">
        <f t="shared" si="4"/>
        <v>1252</v>
      </c>
      <c r="S69" s="2">
        <f t="shared" si="5"/>
        <v>2295</v>
      </c>
    </row>
    <row r="70" spans="1:19">
      <c r="A70" s="3" t="s">
        <v>130</v>
      </c>
      <c r="B70" s="1">
        <v>44552</v>
      </c>
      <c r="C70">
        <v>22</v>
      </c>
      <c r="D70" t="s">
        <v>20</v>
      </c>
      <c r="E70">
        <v>2021</v>
      </c>
      <c r="F70">
        <v>25</v>
      </c>
      <c r="G70" s="8" t="s">
        <v>29</v>
      </c>
      <c r="H70" t="s">
        <v>46</v>
      </c>
      <c r="I70" t="s">
        <v>47</v>
      </c>
      <c r="J70" t="s">
        <v>56</v>
      </c>
      <c r="K70" t="s">
        <v>25</v>
      </c>
      <c r="L70" t="s">
        <v>26</v>
      </c>
      <c r="M70" s="5" t="s">
        <v>54</v>
      </c>
      <c r="N70">
        <v>1</v>
      </c>
      <c r="O70" s="2">
        <v>1252</v>
      </c>
      <c r="P70" s="2">
        <v>2295</v>
      </c>
      <c r="Q70" s="2">
        <v>1043</v>
      </c>
      <c r="R70" s="2">
        <f t="shared" si="4"/>
        <v>1252</v>
      </c>
      <c r="S70" s="2">
        <f t="shared" si="5"/>
        <v>2295</v>
      </c>
    </row>
    <row r="71" spans="1:19">
      <c r="A71" s="3" t="s">
        <v>131</v>
      </c>
      <c r="B71" s="1">
        <v>44552</v>
      </c>
      <c r="C71">
        <v>22</v>
      </c>
      <c r="D71" t="s">
        <v>20</v>
      </c>
      <c r="E71">
        <v>2021</v>
      </c>
      <c r="F71">
        <v>27</v>
      </c>
      <c r="G71" s="8" t="s">
        <v>29</v>
      </c>
      <c r="H71" t="s">
        <v>22</v>
      </c>
      <c r="I71" t="s">
        <v>34</v>
      </c>
      <c r="J71" t="s">
        <v>35</v>
      </c>
      <c r="K71" t="s">
        <v>25</v>
      </c>
      <c r="L71" t="s">
        <v>26</v>
      </c>
      <c r="M71" s="5" t="s">
        <v>51</v>
      </c>
      <c r="N71">
        <v>1</v>
      </c>
      <c r="O71" s="2">
        <v>1252</v>
      </c>
      <c r="P71" s="2">
        <v>2295</v>
      </c>
      <c r="Q71" s="2">
        <v>1043</v>
      </c>
      <c r="R71" s="2">
        <f t="shared" si="4"/>
        <v>1252</v>
      </c>
      <c r="S71" s="2">
        <f t="shared" si="5"/>
        <v>2295</v>
      </c>
    </row>
    <row r="72" spans="1:19">
      <c r="A72" s="3" t="s">
        <v>132</v>
      </c>
      <c r="B72" s="1">
        <v>44553</v>
      </c>
      <c r="C72">
        <v>23</v>
      </c>
      <c r="D72" t="s">
        <v>20</v>
      </c>
      <c r="E72">
        <v>2021</v>
      </c>
      <c r="F72">
        <v>31</v>
      </c>
      <c r="G72" s="8" t="s">
        <v>29</v>
      </c>
      <c r="H72" t="s">
        <v>22</v>
      </c>
      <c r="I72" t="s">
        <v>34</v>
      </c>
      <c r="J72" t="s">
        <v>35</v>
      </c>
      <c r="K72" t="s">
        <v>25</v>
      </c>
      <c r="L72" t="s">
        <v>26</v>
      </c>
      <c r="M72" s="5" t="s">
        <v>63</v>
      </c>
      <c r="N72">
        <v>1</v>
      </c>
      <c r="O72" s="2">
        <v>1252</v>
      </c>
      <c r="P72" s="2">
        <v>2295</v>
      </c>
      <c r="Q72" s="2">
        <v>1043</v>
      </c>
      <c r="R72" s="2">
        <f t="shared" si="4"/>
        <v>1252</v>
      </c>
      <c r="S72" s="2">
        <f t="shared" si="5"/>
        <v>2295</v>
      </c>
    </row>
    <row r="73" spans="1:19">
      <c r="A73" s="3" t="s">
        <v>133</v>
      </c>
      <c r="B73" s="1">
        <v>44538</v>
      </c>
      <c r="C73">
        <v>8</v>
      </c>
      <c r="D73" t="s">
        <v>20</v>
      </c>
      <c r="E73">
        <v>2021</v>
      </c>
      <c r="F73">
        <v>19</v>
      </c>
      <c r="G73" s="8" t="s">
        <v>45</v>
      </c>
      <c r="H73" t="s">
        <v>22</v>
      </c>
      <c r="I73" t="s">
        <v>30</v>
      </c>
      <c r="J73" t="s">
        <v>38</v>
      </c>
      <c r="K73" t="s">
        <v>25</v>
      </c>
      <c r="L73" t="s">
        <v>26</v>
      </c>
      <c r="M73" s="5" t="s">
        <v>134</v>
      </c>
      <c r="N73">
        <v>4</v>
      </c>
      <c r="O73" s="2">
        <v>308</v>
      </c>
      <c r="P73" s="2">
        <v>565</v>
      </c>
      <c r="Q73" s="2">
        <v>1028</v>
      </c>
      <c r="R73" s="2">
        <f t="shared" si="4"/>
        <v>1232</v>
      </c>
      <c r="S73" s="2">
        <f t="shared" si="5"/>
        <v>2260</v>
      </c>
    </row>
    <row r="74" spans="1:19">
      <c r="A74" s="3" t="s">
        <v>135</v>
      </c>
      <c r="B74" s="1">
        <v>44548</v>
      </c>
      <c r="C74">
        <v>18</v>
      </c>
      <c r="D74" t="s">
        <v>20</v>
      </c>
      <c r="E74">
        <v>2021</v>
      </c>
      <c r="F74">
        <v>35</v>
      </c>
      <c r="G74" s="8" t="s">
        <v>21</v>
      </c>
      <c r="H74" t="s">
        <v>22</v>
      </c>
      <c r="I74" t="s">
        <v>30</v>
      </c>
      <c r="J74" t="s">
        <v>38</v>
      </c>
      <c r="K74" t="s">
        <v>25</v>
      </c>
      <c r="L74" t="s">
        <v>26</v>
      </c>
      <c r="M74" s="5" t="s">
        <v>134</v>
      </c>
      <c r="N74">
        <v>4</v>
      </c>
      <c r="O74" s="2">
        <v>308</v>
      </c>
      <c r="P74" s="2">
        <v>565</v>
      </c>
      <c r="Q74" s="2">
        <v>1028</v>
      </c>
      <c r="R74" s="2">
        <f t="shared" si="4"/>
        <v>1232</v>
      </c>
      <c r="S74" s="2">
        <f t="shared" si="5"/>
        <v>2260</v>
      </c>
    </row>
    <row r="75" spans="1:19">
      <c r="A75" s="3" t="s">
        <v>136</v>
      </c>
      <c r="B75" s="1">
        <v>44549</v>
      </c>
      <c r="C75">
        <v>19</v>
      </c>
      <c r="D75" t="s">
        <v>20</v>
      </c>
      <c r="E75">
        <v>2021</v>
      </c>
      <c r="F75">
        <v>19</v>
      </c>
      <c r="G75" s="8" t="s">
        <v>45</v>
      </c>
      <c r="H75" t="s">
        <v>22</v>
      </c>
      <c r="I75" t="s">
        <v>30</v>
      </c>
      <c r="J75" t="s">
        <v>31</v>
      </c>
      <c r="K75" t="s">
        <v>25</v>
      </c>
      <c r="L75" t="s">
        <v>26</v>
      </c>
      <c r="M75" s="5" t="s">
        <v>137</v>
      </c>
      <c r="N75">
        <v>4</v>
      </c>
      <c r="O75" s="2">
        <v>295</v>
      </c>
      <c r="P75" s="2">
        <v>540</v>
      </c>
      <c r="Q75" s="2">
        <v>980</v>
      </c>
      <c r="R75" s="2">
        <f t="shared" si="4"/>
        <v>1180</v>
      </c>
      <c r="S75" s="2">
        <f t="shared" si="5"/>
        <v>2160</v>
      </c>
    </row>
    <row r="76" spans="1:19">
      <c r="A76" s="3" t="s">
        <v>138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29</v>
      </c>
      <c r="H76" t="s">
        <v>46</v>
      </c>
      <c r="I76" t="s">
        <v>34</v>
      </c>
      <c r="J76" t="s">
        <v>35</v>
      </c>
      <c r="K76" t="s">
        <v>25</v>
      </c>
      <c r="L76" t="s">
        <v>26</v>
      </c>
      <c r="M76" s="5" t="s">
        <v>139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>
      <c r="A77" s="3" t="s">
        <v>140</v>
      </c>
      <c r="B77" s="1">
        <v>44532</v>
      </c>
      <c r="C77">
        <v>2</v>
      </c>
      <c r="D77" t="s">
        <v>20</v>
      </c>
      <c r="E77">
        <v>2021</v>
      </c>
      <c r="F77">
        <v>37</v>
      </c>
      <c r="G77" s="8" t="s">
        <v>21</v>
      </c>
      <c r="H77" t="s">
        <v>46</v>
      </c>
      <c r="I77" t="s">
        <v>23</v>
      </c>
      <c r="J77" t="s">
        <v>50</v>
      </c>
      <c r="K77" t="s">
        <v>25</v>
      </c>
      <c r="L77" t="s">
        <v>26</v>
      </c>
      <c r="M77" s="5" t="s">
        <v>95</v>
      </c>
      <c r="N77">
        <v>2</v>
      </c>
      <c r="O77" s="2">
        <v>420</v>
      </c>
      <c r="P77" s="2">
        <v>769</v>
      </c>
      <c r="Q77" s="2">
        <v>698</v>
      </c>
      <c r="R77" s="2">
        <f t="shared" si="4"/>
        <v>840</v>
      </c>
      <c r="S77" s="2">
        <f t="shared" si="5"/>
        <v>1538</v>
      </c>
    </row>
    <row r="78" spans="1:19">
      <c r="A78" s="3" t="s">
        <v>141</v>
      </c>
      <c r="B78" s="1">
        <v>44541</v>
      </c>
      <c r="C78">
        <v>11</v>
      </c>
      <c r="D78" t="s">
        <v>20</v>
      </c>
      <c r="E78">
        <v>2021</v>
      </c>
      <c r="F78">
        <v>41</v>
      </c>
      <c r="G78" s="8" t="s">
        <v>21</v>
      </c>
      <c r="H78" t="s">
        <v>22</v>
      </c>
      <c r="I78" t="s">
        <v>30</v>
      </c>
      <c r="J78" t="s">
        <v>38</v>
      </c>
      <c r="K78" t="s">
        <v>25</v>
      </c>
      <c r="L78" t="s">
        <v>26</v>
      </c>
      <c r="M78" s="5" t="s">
        <v>93</v>
      </c>
      <c r="N78">
        <v>2</v>
      </c>
      <c r="O78" s="2">
        <v>420</v>
      </c>
      <c r="P78" s="2">
        <v>769</v>
      </c>
      <c r="Q78" s="2">
        <v>698</v>
      </c>
      <c r="R78" s="2">
        <f t="shared" si="4"/>
        <v>840</v>
      </c>
      <c r="S78" s="2">
        <f t="shared" si="5"/>
        <v>1538</v>
      </c>
    </row>
    <row r="79" spans="1:19">
      <c r="A79" s="3" t="s">
        <v>142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45</v>
      </c>
      <c r="H79" t="s">
        <v>46</v>
      </c>
      <c r="I79" t="s">
        <v>97</v>
      </c>
      <c r="J79" t="s">
        <v>98</v>
      </c>
      <c r="K79" t="s">
        <v>25</v>
      </c>
      <c r="L79" t="s">
        <v>26</v>
      </c>
      <c r="M79" s="5" t="s">
        <v>95</v>
      </c>
      <c r="N79">
        <v>2</v>
      </c>
      <c r="O79" s="2">
        <v>420</v>
      </c>
      <c r="P79" s="2">
        <v>769</v>
      </c>
      <c r="Q79" s="2">
        <v>698</v>
      </c>
      <c r="R79" s="2">
        <f t="shared" si="4"/>
        <v>840</v>
      </c>
      <c r="S79" s="2">
        <f t="shared" si="5"/>
        <v>1538</v>
      </c>
    </row>
    <row r="80" spans="1:19">
      <c r="A80" s="3" t="s">
        <v>143</v>
      </c>
      <c r="B80" s="1">
        <v>44549</v>
      </c>
      <c r="C80">
        <v>19</v>
      </c>
      <c r="D80" t="s">
        <v>20</v>
      </c>
      <c r="E80">
        <v>2021</v>
      </c>
      <c r="F80">
        <v>18</v>
      </c>
      <c r="G80" s="8" t="s">
        <v>45</v>
      </c>
      <c r="H80" t="s">
        <v>46</v>
      </c>
      <c r="I80" t="s">
        <v>30</v>
      </c>
      <c r="J80" t="s">
        <v>144</v>
      </c>
      <c r="K80" t="s">
        <v>25</v>
      </c>
      <c r="L80" t="s">
        <v>26</v>
      </c>
      <c r="M80" s="5" t="s">
        <v>145</v>
      </c>
      <c r="N80">
        <v>2</v>
      </c>
      <c r="O80" s="2">
        <v>295</v>
      </c>
      <c r="P80" s="2">
        <v>540</v>
      </c>
      <c r="Q80" s="2">
        <v>490</v>
      </c>
      <c r="R80" s="2">
        <f t="shared" si="4"/>
        <v>590</v>
      </c>
      <c r="S80" s="2">
        <f t="shared" si="5"/>
        <v>1080</v>
      </c>
    </row>
    <row r="81" spans="1:19">
      <c r="A81" s="3" t="s">
        <v>146</v>
      </c>
      <c r="B81" s="1">
        <v>44532</v>
      </c>
      <c r="C81">
        <v>2</v>
      </c>
      <c r="D81" t="s">
        <v>20</v>
      </c>
      <c r="E81">
        <v>2021</v>
      </c>
      <c r="F81">
        <v>31</v>
      </c>
      <c r="G81" s="8" t="s">
        <v>29</v>
      </c>
      <c r="H81" t="s">
        <v>22</v>
      </c>
      <c r="I81" t="s">
        <v>30</v>
      </c>
      <c r="J81" t="s">
        <v>38</v>
      </c>
      <c r="K81" t="s">
        <v>25</v>
      </c>
      <c r="L81" t="s">
        <v>26</v>
      </c>
      <c r="M81" s="5" t="s">
        <v>91</v>
      </c>
      <c r="N81">
        <v>1</v>
      </c>
      <c r="O81" s="2">
        <v>420</v>
      </c>
      <c r="P81" s="2">
        <v>769</v>
      </c>
      <c r="Q81" s="2">
        <v>349</v>
      </c>
      <c r="R81" s="2">
        <f t="shared" si="4"/>
        <v>420</v>
      </c>
      <c r="S81" s="2">
        <f t="shared" si="5"/>
        <v>769</v>
      </c>
    </row>
    <row r="82" spans="1:19">
      <c r="A82" s="3" t="s">
        <v>147</v>
      </c>
      <c r="B82" s="1">
        <v>44541</v>
      </c>
      <c r="C82">
        <v>11</v>
      </c>
      <c r="D82" t="s">
        <v>20</v>
      </c>
      <c r="E82">
        <v>2021</v>
      </c>
      <c r="F82">
        <v>37</v>
      </c>
      <c r="G82" s="8" t="s">
        <v>21</v>
      </c>
      <c r="H82" t="s">
        <v>46</v>
      </c>
      <c r="I82" t="s">
        <v>23</v>
      </c>
      <c r="J82" t="s">
        <v>50</v>
      </c>
      <c r="K82" t="s">
        <v>25</v>
      </c>
      <c r="L82" t="s">
        <v>26</v>
      </c>
      <c r="M82" s="5" t="s">
        <v>95</v>
      </c>
      <c r="N82">
        <v>1</v>
      </c>
      <c r="O82" s="2">
        <v>420</v>
      </c>
      <c r="P82" s="2">
        <v>769</v>
      </c>
      <c r="Q82" s="2">
        <v>349</v>
      </c>
      <c r="R82" s="2">
        <f t="shared" si="4"/>
        <v>420</v>
      </c>
      <c r="S82" s="2">
        <f t="shared" si="5"/>
        <v>769</v>
      </c>
    </row>
    <row r="83" spans="1:19">
      <c r="A83" s="3" t="s">
        <v>148</v>
      </c>
      <c r="B83" s="1">
        <v>44544</v>
      </c>
      <c r="C83">
        <v>14</v>
      </c>
      <c r="D83" t="s">
        <v>20</v>
      </c>
      <c r="E83">
        <v>2021</v>
      </c>
      <c r="F83">
        <v>32</v>
      </c>
      <c r="G83" s="8" t="s">
        <v>29</v>
      </c>
      <c r="H83" t="s">
        <v>22</v>
      </c>
      <c r="I83" t="s">
        <v>30</v>
      </c>
      <c r="J83" t="s">
        <v>31</v>
      </c>
      <c r="K83" t="s">
        <v>25</v>
      </c>
      <c r="L83" t="s">
        <v>26</v>
      </c>
      <c r="M83" s="5" t="s">
        <v>95</v>
      </c>
      <c r="N83">
        <v>1</v>
      </c>
      <c r="O83" s="2">
        <v>420</v>
      </c>
      <c r="P83" s="2">
        <v>769</v>
      </c>
      <c r="Q83" s="2">
        <v>349</v>
      </c>
      <c r="R83" s="2">
        <f t="shared" si="4"/>
        <v>420</v>
      </c>
      <c r="S83" s="2">
        <f t="shared" si="5"/>
        <v>769</v>
      </c>
    </row>
    <row r="84" spans="1:19">
      <c r="A84" s="3" t="s">
        <v>149</v>
      </c>
      <c r="B84" s="1">
        <v>44547</v>
      </c>
      <c r="C84">
        <v>17</v>
      </c>
      <c r="D84" t="s">
        <v>20</v>
      </c>
      <c r="E84">
        <v>2021</v>
      </c>
      <c r="F84">
        <v>31</v>
      </c>
      <c r="G84" s="8" t="s">
        <v>29</v>
      </c>
      <c r="H84" t="s">
        <v>46</v>
      </c>
      <c r="I84" t="s">
        <v>30</v>
      </c>
      <c r="J84" t="s">
        <v>38</v>
      </c>
      <c r="K84" t="s">
        <v>25</v>
      </c>
      <c r="L84" t="s">
        <v>26</v>
      </c>
      <c r="M84" s="5" t="s">
        <v>91</v>
      </c>
      <c r="N84">
        <v>1</v>
      </c>
      <c r="O84" s="2">
        <v>420</v>
      </c>
      <c r="P84" s="2">
        <v>769</v>
      </c>
      <c r="Q84" s="2">
        <v>349</v>
      </c>
      <c r="R84" s="2">
        <f t="shared" si="4"/>
        <v>420</v>
      </c>
      <c r="S84" s="2">
        <f t="shared" si="5"/>
        <v>769</v>
      </c>
    </row>
    <row r="85" spans="1:19">
      <c r="A85" s="3" t="s">
        <v>150</v>
      </c>
      <c r="B85" s="1">
        <v>44543</v>
      </c>
      <c r="C85">
        <v>13</v>
      </c>
      <c r="D85" t="s">
        <v>20</v>
      </c>
      <c r="E85">
        <v>2021</v>
      </c>
      <c r="F85">
        <v>40</v>
      </c>
      <c r="G85" s="8" t="s">
        <v>21</v>
      </c>
      <c r="H85" t="s">
        <v>22</v>
      </c>
      <c r="I85" t="s">
        <v>23</v>
      </c>
      <c r="J85" t="s">
        <v>50</v>
      </c>
      <c r="K85" t="s">
        <v>25</v>
      </c>
      <c r="L85" t="s">
        <v>26</v>
      </c>
      <c r="M85" s="5" t="s">
        <v>151</v>
      </c>
      <c r="N85">
        <v>1</v>
      </c>
      <c r="O85" s="2">
        <v>308</v>
      </c>
      <c r="P85" s="2">
        <v>565</v>
      </c>
      <c r="Q85" s="2">
        <v>257</v>
      </c>
      <c r="R85" s="2">
        <f t="shared" si="4"/>
        <v>308</v>
      </c>
      <c r="S85" s="2">
        <f t="shared" si="5"/>
        <v>565</v>
      </c>
    </row>
    <row r="86" spans="1:19">
      <c r="A86" s="3" t="s">
        <v>152</v>
      </c>
      <c r="B86" s="1">
        <v>44552</v>
      </c>
      <c r="C86">
        <v>22</v>
      </c>
      <c r="D86" t="s">
        <v>20</v>
      </c>
      <c r="E86">
        <v>2021</v>
      </c>
      <c r="F86">
        <v>19</v>
      </c>
      <c r="G86" s="8" t="s">
        <v>45</v>
      </c>
      <c r="H86" t="s">
        <v>22</v>
      </c>
      <c r="I86" t="s">
        <v>30</v>
      </c>
      <c r="J86" t="s">
        <v>38</v>
      </c>
      <c r="K86" t="s">
        <v>25</v>
      </c>
      <c r="L86" t="s">
        <v>26</v>
      </c>
      <c r="M86" s="5" t="s">
        <v>134</v>
      </c>
      <c r="N86">
        <v>1</v>
      </c>
      <c r="O86" s="2">
        <v>308</v>
      </c>
      <c r="P86" s="2">
        <v>565</v>
      </c>
      <c r="Q86" s="2">
        <v>257</v>
      </c>
      <c r="R86" s="2">
        <f t="shared" si="4"/>
        <v>308</v>
      </c>
      <c r="S86" s="2">
        <f t="shared" si="5"/>
        <v>565</v>
      </c>
    </row>
    <row r="87" spans="1:19">
      <c r="A87" s="3" t="s">
        <v>153</v>
      </c>
      <c r="B87" s="1">
        <v>44538</v>
      </c>
      <c r="C87">
        <v>8</v>
      </c>
      <c r="D87" t="s">
        <v>20</v>
      </c>
      <c r="E87">
        <v>2021</v>
      </c>
      <c r="F87">
        <v>35</v>
      </c>
      <c r="G87" s="8" t="s">
        <v>21</v>
      </c>
      <c r="H87" t="s">
        <v>22</v>
      </c>
      <c r="I87" t="s">
        <v>23</v>
      </c>
      <c r="J87" t="s">
        <v>50</v>
      </c>
      <c r="K87" t="s">
        <v>25</v>
      </c>
      <c r="L87" t="s">
        <v>26</v>
      </c>
      <c r="M87" s="5" t="s">
        <v>80</v>
      </c>
      <c r="N87">
        <v>1</v>
      </c>
      <c r="O87" s="2">
        <v>295</v>
      </c>
      <c r="P87" s="2">
        <v>540</v>
      </c>
      <c r="Q87" s="2">
        <v>245</v>
      </c>
      <c r="R87" s="2">
        <f t="shared" si="4"/>
        <v>295</v>
      </c>
      <c r="S87" s="2">
        <f t="shared" si="5"/>
        <v>540</v>
      </c>
    </row>
    <row r="88" spans="1:19">
      <c r="A88" s="3" t="s">
        <v>154</v>
      </c>
      <c r="B88" s="1">
        <v>44540</v>
      </c>
      <c r="C88">
        <v>10</v>
      </c>
      <c r="D88" t="s">
        <v>20</v>
      </c>
      <c r="E88">
        <v>2021</v>
      </c>
      <c r="F88">
        <v>34</v>
      </c>
      <c r="G88" s="8" t="s">
        <v>29</v>
      </c>
      <c r="H88" t="s">
        <v>46</v>
      </c>
      <c r="I88" t="s">
        <v>23</v>
      </c>
      <c r="J88" t="s">
        <v>50</v>
      </c>
      <c r="K88" t="s">
        <v>25</v>
      </c>
      <c r="L88" t="s">
        <v>26</v>
      </c>
      <c r="M88" s="5" t="s">
        <v>145</v>
      </c>
      <c r="N88">
        <v>1</v>
      </c>
      <c r="O88" s="2">
        <v>295</v>
      </c>
      <c r="P88" s="2">
        <v>540</v>
      </c>
      <c r="Q88" s="2">
        <v>245</v>
      </c>
      <c r="R88" s="2">
        <f t="shared" si="4"/>
        <v>295</v>
      </c>
      <c r="S88" s="2">
        <f t="shared" si="5"/>
        <v>540</v>
      </c>
    </row>
    <row r="89" spans="1:19">
      <c r="A89" s="3" t="s">
        <v>155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50</v>
      </c>
      <c r="K89" t="s">
        <v>25</v>
      </c>
      <c r="L89" t="s">
        <v>26</v>
      </c>
      <c r="M89" s="5" t="s">
        <v>80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C0A5-1ACC-4FE6-B357-9FEDC30955D7}">
  <dimension ref="A3:E11"/>
  <sheetViews>
    <sheetView workbookViewId="0">
      <selection activeCell="F4" sqref="F4"/>
    </sheetView>
  </sheetViews>
  <sheetFormatPr defaultRowHeight="15"/>
  <cols>
    <col min="1" max="1" width="22" bestFit="1" customWidth="1"/>
    <col min="2" max="2" width="11.7109375" bestFit="1" customWidth="1"/>
    <col min="3" max="3" width="8.5703125" bestFit="1" customWidth="1"/>
    <col min="4" max="4" width="13.5703125" bestFit="1" customWidth="1"/>
    <col min="5" max="6" width="11.7109375" bestFit="1" customWidth="1"/>
  </cols>
  <sheetData>
    <row r="3" spans="1:5">
      <c r="A3" s="9" t="s">
        <v>156</v>
      </c>
      <c r="B3" s="9" t="s">
        <v>157</v>
      </c>
    </row>
    <row r="4" spans="1:5">
      <c r="A4" s="9" t="s">
        <v>158</v>
      </c>
      <c r="B4" t="s">
        <v>159</v>
      </c>
      <c r="C4" t="s">
        <v>160</v>
      </c>
      <c r="D4" t="s">
        <v>161</v>
      </c>
      <c r="E4" t="s">
        <v>162</v>
      </c>
    </row>
    <row r="5" spans="1:5">
      <c r="A5" t="s">
        <v>163</v>
      </c>
      <c r="B5" s="19">
        <v>1</v>
      </c>
      <c r="C5" s="19">
        <v>1</v>
      </c>
      <c r="D5" s="19"/>
      <c r="E5" s="19">
        <v>2</v>
      </c>
    </row>
    <row r="6" spans="1:5">
      <c r="A6" t="s">
        <v>164</v>
      </c>
      <c r="B6" s="19">
        <v>1</v>
      </c>
      <c r="C6" s="19">
        <v>1</v>
      </c>
      <c r="D6" s="19"/>
      <c r="E6" s="19">
        <v>2</v>
      </c>
    </row>
    <row r="7" spans="1:5">
      <c r="A7" t="s">
        <v>165</v>
      </c>
      <c r="B7" s="19"/>
      <c r="C7" s="19">
        <v>1</v>
      </c>
      <c r="D7" s="19">
        <v>1</v>
      </c>
      <c r="E7" s="19">
        <v>2</v>
      </c>
    </row>
    <row r="8" spans="1:5">
      <c r="A8" t="s">
        <v>166</v>
      </c>
      <c r="B8" s="19">
        <v>1</v>
      </c>
      <c r="C8" s="19"/>
      <c r="D8" s="19">
        <v>1</v>
      </c>
      <c r="E8" s="19">
        <v>2</v>
      </c>
    </row>
    <row r="9" spans="1:5">
      <c r="A9" t="s">
        <v>167</v>
      </c>
      <c r="B9" s="19">
        <v>1</v>
      </c>
      <c r="C9" s="19"/>
      <c r="D9" s="19">
        <v>1</v>
      </c>
      <c r="E9" s="19">
        <v>2</v>
      </c>
    </row>
    <row r="10" spans="1:5">
      <c r="A10" t="s">
        <v>168</v>
      </c>
      <c r="B10" s="19">
        <v>1</v>
      </c>
      <c r="C10" s="19"/>
      <c r="D10" s="19">
        <v>1</v>
      </c>
      <c r="E10" s="19">
        <v>2</v>
      </c>
    </row>
    <row r="11" spans="1:5">
      <c r="A11" t="s">
        <v>162</v>
      </c>
      <c r="B11" s="19">
        <v>5</v>
      </c>
      <c r="C11" s="19">
        <v>3</v>
      </c>
      <c r="D11" s="19">
        <v>4</v>
      </c>
      <c r="E11" s="19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79F9-2C58-479F-9617-479A69E036CD}">
  <dimension ref="A1:D13"/>
  <sheetViews>
    <sheetView tabSelected="1" workbookViewId="0">
      <selection activeCell="D3" sqref="D3"/>
    </sheetView>
  </sheetViews>
  <sheetFormatPr defaultRowHeight="15"/>
  <cols>
    <col min="1" max="1" width="20.7109375" customWidth="1"/>
    <col min="2" max="2" width="21.5703125" customWidth="1"/>
    <col min="3" max="3" width="25.28515625" customWidth="1"/>
    <col min="4" max="4" width="34.85546875" customWidth="1"/>
  </cols>
  <sheetData>
    <row r="1" spans="1:4" ht="15.75">
      <c r="A1" s="13" t="s">
        <v>169</v>
      </c>
      <c r="B1" s="14" t="s">
        <v>170</v>
      </c>
      <c r="C1" s="15" t="s">
        <v>171</v>
      </c>
      <c r="D1" s="14" t="s">
        <v>172</v>
      </c>
    </row>
    <row r="2" spans="1:4" ht="15.75">
      <c r="A2" s="11" t="s">
        <v>168</v>
      </c>
      <c r="B2" s="10" t="s">
        <v>159</v>
      </c>
      <c r="C2" s="12">
        <v>500</v>
      </c>
      <c r="D2" t="str" cm="1">
        <f t="array" ref="D2">_xlfn.SWITCH(TRUE, C2 &gt; 600, "High", C2 &gt;= 300, "Medium", "Low")</f>
        <v>Medium</v>
      </c>
    </row>
    <row r="3" spans="1:4" ht="15.75">
      <c r="A3" s="11" t="s">
        <v>168</v>
      </c>
      <c r="B3" s="10" t="s">
        <v>161</v>
      </c>
      <c r="C3" s="12">
        <v>200</v>
      </c>
      <c r="D3" t="str" cm="1">
        <f t="array" ref="D3">_xlfn.SWITCH(TRUE, C3 &gt; 600, "High", C3 &gt;= 300, "Medium", "Low")</f>
        <v>Low</v>
      </c>
    </row>
    <row r="4" spans="1:4" ht="15.75">
      <c r="A4" s="11" t="s">
        <v>163</v>
      </c>
      <c r="B4" s="10" t="s">
        <v>159</v>
      </c>
      <c r="C4" s="12">
        <v>700</v>
      </c>
      <c r="D4" t="str" cm="1">
        <f t="array" ref="D4">_xlfn.SWITCH(TRUE, C4 &gt; 600, "High", C4 &gt;= 300, "Medium", "Low")</f>
        <v>High</v>
      </c>
    </row>
    <row r="5" spans="1:4" ht="15.75">
      <c r="A5" s="11" t="s">
        <v>163</v>
      </c>
      <c r="B5" s="10" t="s">
        <v>160</v>
      </c>
      <c r="C5" s="12">
        <v>400</v>
      </c>
      <c r="D5" t="str" cm="1">
        <f t="array" ref="D5">_xlfn.SWITCH(TRUE, C5 &gt; 600, "High", C5 &gt;= 300, "Medium", "Low")</f>
        <v>Medium</v>
      </c>
    </row>
    <row r="6" spans="1:4" ht="15.75">
      <c r="A6" s="11" t="s">
        <v>167</v>
      </c>
      <c r="B6" s="10" t="s">
        <v>161</v>
      </c>
      <c r="C6" s="12">
        <v>150</v>
      </c>
      <c r="D6" t="str" cm="1">
        <f t="array" ref="D6">_xlfn.SWITCH(TRUE, C6 &gt; 600, "High", C6 &gt;= 300, "Medium", "Low")</f>
        <v>Low</v>
      </c>
    </row>
    <row r="7" spans="1:4" ht="15.75">
      <c r="A7" s="11" t="s">
        <v>167</v>
      </c>
      <c r="B7" s="10" t="s">
        <v>159</v>
      </c>
      <c r="C7" s="12">
        <v>600</v>
      </c>
      <c r="D7" t="str" cm="1">
        <f t="array" ref="D7">_xlfn.SWITCH(TRUE, C7 &gt; 600, "High", C7 &gt;= 300, "Medium", "Low")</f>
        <v>Medium</v>
      </c>
    </row>
    <row r="8" spans="1:4" ht="15.75">
      <c r="A8" s="11" t="s">
        <v>165</v>
      </c>
      <c r="B8" s="10" t="s">
        <v>160</v>
      </c>
      <c r="C8" s="12">
        <v>800</v>
      </c>
      <c r="D8" t="str" cm="1">
        <f t="array" ref="D8">_xlfn.SWITCH(TRUE, C8 &gt; 600, "High", C8 &gt;= 300, "Medium", "Low")</f>
        <v>High</v>
      </c>
    </row>
    <row r="9" spans="1:4" ht="15.75">
      <c r="A9" s="11" t="s">
        <v>165</v>
      </c>
      <c r="B9" s="10" t="s">
        <v>161</v>
      </c>
      <c r="C9" s="12">
        <v>300</v>
      </c>
      <c r="D9" t="str" cm="1">
        <f t="array" ref="D9">_xlfn.SWITCH(TRUE, C9 &gt; 600, "High", C9 &gt;= 300, "Medium", "Low")</f>
        <v>Medium</v>
      </c>
    </row>
    <row r="10" spans="1:4" ht="15.75">
      <c r="A10" s="11" t="s">
        <v>164</v>
      </c>
      <c r="B10" s="10" t="s">
        <v>159</v>
      </c>
      <c r="C10" s="12">
        <v>250</v>
      </c>
      <c r="D10" t="str" cm="1">
        <f t="array" ref="D10">_xlfn.SWITCH(TRUE, C10 &gt; 600, "High", C10 &gt;= 300, "Medium", "Low")</f>
        <v>Low</v>
      </c>
    </row>
    <row r="11" spans="1:4" ht="15.75">
      <c r="A11" s="11" t="s">
        <v>164</v>
      </c>
      <c r="B11" s="10" t="s">
        <v>160</v>
      </c>
      <c r="C11" s="12">
        <v>300</v>
      </c>
      <c r="D11" t="str" cm="1">
        <f t="array" ref="D11">_xlfn.SWITCH(TRUE, C11 &gt; 600, "High", C11 &gt;= 300, "Medium", "Low")</f>
        <v>Medium</v>
      </c>
    </row>
    <row r="12" spans="1:4" ht="15.75">
      <c r="A12" s="11" t="s">
        <v>166</v>
      </c>
      <c r="B12" s="10" t="s">
        <v>161</v>
      </c>
      <c r="C12" s="12">
        <v>600</v>
      </c>
      <c r="D12" t="str" cm="1">
        <f t="array" ref="D12">_xlfn.SWITCH(TRUE, C12 &gt; 600, "High", C12 &gt;= 300, "Medium", "Low")</f>
        <v>Medium</v>
      </c>
    </row>
    <row r="13" spans="1:4" ht="15.75">
      <c r="A13" s="16" t="s">
        <v>166</v>
      </c>
      <c r="B13" s="17" t="s">
        <v>159</v>
      </c>
      <c r="C13" s="18">
        <v>400</v>
      </c>
      <c r="D13" t="str" cm="1">
        <f t="array" ref="D13">_xlfn.SWITCH(TRUE, C13 &gt; 600, "High", C13 &gt;= 300, "Medium", "Low")</f>
        <v>Medium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G1" workbookViewId="0">
      <selection activeCell="I1" sqref="I1"/>
    </sheetView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8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49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50</v>
      </c>
      <c r="K2" t="s">
        <v>25</v>
      </c>
      <c r="L2" t="s">
        <v>26</v>
      </c>
      <c r="M2" s="5" t="s">
        <v>51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96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46</v>
      </c>
      <c r="I3" t="s">
        <v>97</v>
      </c>
      <c r="J3" t="s">
        <v>98</v>
      </c>
      <c r="K3" t="s">
        <v>25</v>
      </c>
      <c r="L3" t="s">
        <v>26</v>
      </c>
      <c r="M3" s="5" t="s">
        <v>39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140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46</v>
      </c>
      <c r="I4" t="s">
        <v>23</v>
      </c>
      <c r="J4" t="s">
        <v>50</v>
      </c>
      <c r="K4" t="s">
        <v>25</v>
      </c>
      <c r="L4" t="s">
        <v>26</v>
      </c>
      <c r="M4" s="5" t="s">
        <v>95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146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29</v>
      </c>
      <c r="H5" t="s">
        <v>22</v>
      </c>
      <c r="I5" t="s">
        <v>30</v>
      </c>
      <c r="J5" t="s">
        <v>38</v>
      </c>
      <c r="K5" t="s">
        <v>25</v>
      </c>
      <c r="L5" t="s">
        <v>26</v>
      </c>
      <c r="M5" s="5" t="s">
        <v>91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78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50</v>
      </c>
      <c r="K6" t="s">
        <v>25</v>
      </c>
      <c r="L6" t="s">
        <v>26</v>
      </c>
      <c r="M6" s="5" t="s">
        <v>51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118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45</v>
      </c>
      <c r="H7" t="s">
        <v>22</v>
      </c>
      <c r="I7" t="s">
        <v>97</v>
      </c>
      <c r="J7" t="s">
        <v>98</v>
      </c>
      <c r="K7" t="s">
        <v>25</v>
      </c>
      <c r="L7" t="s">
        <v>26</v>
      </c>
      <c r="M7" s="5" t="s">
        <v>54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119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46</v>
      </c>
      <c r="I8" t="s">
        <v>173</v>
      </c>
      <c r="J8" t="s">
        <v>70</v>
      </c>
      <c r="K8" t="s">
        <v>25</v>
      </c>
      <c r="L8" t="s">
        <v>26</v>
      </c>
      <c r="M8" s="5" t="s">
        <v>51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90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29</v>
      </c>
      <c r="H9" t="s">
        <v>22</v>
      </c>
      <c r="I9" t="s">
        <v>30</v>
      </c>
      <c r="J9" t="s">
        <v>38</v>
      </c>
      <c r="K9" t="s">
        <v>25</v>
      </c>
      <c r="L9" t="s">
        <v>26</v>
      </c>
      <c r="M9" s="5" t="s">
        <v>91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52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50</v>
      </c>
      <c r="K10" t="s">
        <v>25</v>
      </c>
      <c r="L10" t="s">
        <v>26</v>
      </c>
      <c r="M10" s="5" t="s">
        <v>51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53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46</v>
      </c>
      <c r="I11" t="s">
        <v>41</v>
      </c>
      <c r="J11" t="s">
        <v>42</v>
      </c>
      <c r="K11" t="s">
        <v>25</v>
      </c>
      <c r="L11" t="s">
        <v>26</v>
      </c>
      <c r="M11" s="5" t="s">
        <v>54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99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30</v>
      </c>
      <c r="J12" t="s">
        <v>60</v>
      </c>
      <c r="K12" t="s">
        <v>25</v>
      </c>
      <c r="L12" t="s">
        <v>26</v>
      </c>
      <c r="M12" s="5" t="s">
        <v>36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120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50</v>
      </c>
      <c r="K13" t="s">
        <v>25</v>
      </c>
      <c r="L13" t="s">
        <v>26</v>
      </c>
      <c r="M13" s="5" t="s">
        <v>51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116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45</v>
      </c>
      <c r="H14" t="s">
        <v>46</v>
      </c>
      <c r="I14" t="s">
        <v>97</v>
      </c>
      <c r="J14" t="s">
        <v>98</v>
      </c>
      <c r="K14" t="s">
        <v>25</v>
      </c>
      <c r="L14" t="s">
        <v>26</v>
      </c>
      <c r="M14" s="5" t="s">
        <v>95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121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29</v>
      </c>
      <c r="H15" t="s">
        <v>46</v>
      </c>
      <c r="I15" t="s">
        <v>34</v>
      </c>
      <c r="J15" t="s">
        <v>35</v>
      </c>
      <c r="K15" t="s">
        <v>25</v>
      </c>
      <c r="L15" t="s">
        <v>26</v>
      </c>
      <c r="M15" s="5" t="s">
        <v>51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122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46</v>
      </c>
      <c r="I16" t="s">
        <v>30</v>
      </c>
      <c r="J16" t="s">
        <v>38</v>
      </c>
      <c r="K16" t="s">
        <v>25</v>
      </c>
      <c r="L16" t="s">
        <v>26</v>
      </c>
      <c r="M16" s="5" t="s">
        <v>63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100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46</v>
      </c>
      <c r="I17" t="s">
        <v>97</v>
      </c>
      <c r="J17" t="s">
        <v>98</v>
      </c>
      <c r="K17" t="s">
        <v>25</v>
      </c>
      <c r="L17" t="s">
        <v>26</v>
      </c>
      <c r="M17" s="5" t="s">
        <v>36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92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29</v>
      </c>
      <c r="H18" t="s">
        <v>46</v>
      </c>
      <c r="I18" t="s">
        <v>23</v>
      </c>
      <c r="J18" t="s">
        <v>50</v>
      </c>
      <c r="K18" t="s">
        <v>25</v>
      </c>
      <c r="L18" t="s">
        <v>26</v>
      </c>
      <c r="M18" s="5" t="s">
        <v>93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46</v>
      </c>
      <c r="I19" t="s">
        <v>23</v>
      </c>
      <c r="J19" t="s">
        <v>50</v>
      </c>
      <c r="K19" t="s">
        <v>25</v>
      </c>
      <c r="L19" t="s">
        <v>26</v>
      </c>
      <c r="M19" s="5" t="s">
        <v>39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133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45</v>
      </c>
      <c r="H20" t="s">
        <v>22</v>
      </c>
      <c r="I20" t="s">
        <v>30</v>
      </c>
      <c r="J20" t="s">
        <v>38</v>
      </c>
      <c r="K20" t="s">
        <v>25</v>
      </c>
      <c r="L20" t="s">
        <v>26</v>
      </c>
      <c r="M20" s="5" t="s">
        <v>134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33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29</v>
      </c>
      <c r="H21" t="s">
        <v>22</v>
      </c>
      <c r="I21" t="s">
        <v>34</v>
      </c>
      <c r="J21" t="s">
        <v>35</v>
      </c>
      <c r="K21" t="s">
        <v>25</v>
      </c>
      <c r="L21" t="s">
        <v>26</v>
      </c>
      <c r="M21" s="5" t="s">
        <v>36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s="5" t="s">
        <v>80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153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50</v>
      </c>
      <c r="K23" t="s">
        <v>25</v>
      </c>
      <c r="L23" t="s">
        <v>26</v>
      </c>
      <c r="M23" s="5" t="s">
        <v>80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29</v>
      </c>
      <c r="H24" t="s">
        <v>22</v>
      </c>
      <c r="I24" t="s">
        <v>30</v>
      </c>
      <c r="J24" t="s">
        <v>31</v>
      </c>
      <c r="K24" t="s">
        <v>25</v>
      </c>
      <c r="L24" t="s">
        <v>26</v>
      </c>
      <c r="M24" s="5" t="s">
        <v>32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101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41</v>
      </c>
      <c r="J25" t="s">
        <v>102</v>
      </c>
      <c r="K25" t="s">
        <v>25</v>
      </c>
      <c r="L25" t="s">
        <v>26</v>
      </c>
      <c r="M25" s="5" t="s">
        <v>39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81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29</v>
      </c>
      <c r="H26" t="s">
        <v>22</v>
      </c>
      <c r="I26" t="s">
        <v>23</v>
      </c>
      <c r="J26" t="s">
        <v>50</v>
      </c>
      <c r="K26" t="s">
        <v>25</v>
      </c>
      <c r="L26" t="s">
        <v>26</v>
      </c>
      <c r="M26" s="5" t="s">
        <v>63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82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46</v>
      </c>
      <c r="I27" t="s">
        <v>30</v>
      </c>
      <c r="J27" t="s">
        <v>38</v>
      </c>
      <c r="K27" t="s">
        <v>25</v>
      </c>
      <c r="L27" t="s">
        <v>26</v>
      </c>
      <c r="M27" s="5" t="s">
        <v>63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123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29</v>
      </c>
      <c r="H28" t="s">
        <v>46</v>
      </c>
      <c r="I28" t="s">
        <v>97</v>
      </c>
      <c r="J28" t="s">
        <v>98</v>
      </c>
      <c r="K28" t="s">
        <v>25</v>
      </c>
      <c r="L28" t="s">
        <v>26</v>
      </c>
      <c r="M28" s="5" t="s">
        <v>54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154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29</v>
      </c>
      <c r="H29" t="s">
        <v>46</v>
      </c>
      <c r="I29" t="s">
        <v>23</v>
      </c>
      <c r="J29" t="s">
        <v>50</v>
      </c>
      <c r="K29" t="s">
        <v>25</v>
      </c>
      <c r="L29" t="s">
        <v>26</v>
      </c>
      <c r="M29" s="5" t="s">
        <v>145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29</v>
      </c>
      <c r="H30" t="s">
        <v>22</v>
      </c>
      <c r="I30" t="s">
        <v>23</v>
      </c>
      <c r="J30" t="s">
        <v>70</v>
      </c>
      <c r="K30" t="s">
        <v>25</v>
      </c>
      <c r="L30" t="s">
        <v>26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124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46</v>
      </c>
      <c r="I31" t="s">
        <v>30</v>
      </c>
      <c r="J31" t="s">
        <v>38</v>
      </c>
      <c r="K31" t="s">
        <v>25</v>
      </c>
      <c r="L31" t="s">
        <v>26</v>
      </c>
      <c r="M31" s="5" t="s">
        <v>54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71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45</v>
      </c>
      <c r="H32" t="s">
        <v>22</v>
      </c>
      <c r="I32" t="s">
        <v>47</v>
      </c>
      <c r="J32" t="s">
        <v>56</v>
      </c>
      <c r="K32" t="s">
        <v>25</v>
      </c>
      <c r="L32" t="s">
        <v>26</v>
      </c>
      <c r="M32" s="5" t="s">
        <v>54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141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30</v>
      </c>
      <c r="J33" t="s">
        <v>38</v>
      </c>
      <c r="K33" t="s">
        <v>25</v>
      </c>
      <c r="L33" t="s">
        <v>26</v>
      </c>
      <c r="M33" s="5" t="s">
        <v>93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125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29</v>
      </c>
      <c r="H34" t="s">
        <v>46</v>
      </c>
      <c r="I34" t="s">
        <v>34</v>
      </c>
      <c r="J34" t="s">
        <v>35</v>
      </c>
      <c r="K34" t="s">
        <v>25</v>
      </c>
      <c r="L34" t="s">
        <v>26</v>
      </c>
      <c r="M34" s="5" t="s">
        <v>51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147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46</v>
      </c>
      <c r="I35" t="s">
        <v>23</v>
      </c>
      <c r="J35" t="s">
        <v>50</v>
      </c>
      <c r="K35" t="s">
        <v>25</v>
      </c>
      <c r="L35" t="s">
        <v>26</v>
      </c>
      <c r="M35" s="5" t="s">
        <v>95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103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50</v>
      </c>
      <c r="K36" t="s">
        <v>25</v>
      </c>
      <c r="L36" t="s">
        <v>26</v>
      </c>
      <c r="M36" s="5" t="s">
        <v>36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37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30</v>
      </c>
      <c r="J37" t="s">
        <v>38</v>
      </c>
      <c r="K37" t="s">
        <v>25</v>
      </c>
      <c r="L37" t="s">
        <v>26</v>
      </c>
      <c r="M37" s="5" t="s">
        <v>39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46</v>
      </c>
      <c r="I38" t="s">
        <v>23</v>
      </c>
      <c r="J38" t="s">
        <v>50</v>
      </c>
      <c r="K38" t="s">
        <v>25</v>
      </c>
      <c r="L38" t="s">
        <v>26</v>
      </c>
      <c r="M38" s="5" t="s">
        <v>95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83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29</v>
      </c>
      <c r="H39" t="s">
        <v>46</v>
      </c>
      <c r="I39" t="s">
        <v>30</v>
      </c>
      <c r="J39" t="s">
        <v>38</v>
      </c>
      <c r="K39" t="s">
        <v>25</v>
      </c>
      <c r="L39" t="s">
        <v>26</v>
      </c>
      <c r="M39" s="5" t="s">
        <v>54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30</v>
      </c>
      <c r="J40" t="s">
        <v>31</v>
      </c>
      <c r="K40" t="s">
        <v>25</v>
      </c>
      <c r="L40" t="s">
        <v>26</v>
      </c>
      <c r="M40" s="5" t="s">
        <v>39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70</v>
      </c>
      <c r="K41" t="s">
        <v>25</v>
      </c>
      <c r="L41" t="s">
        <v>26</v>
      </c>
      <c r="M41" s="5" t="s">
        <v>39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64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29</v>
      </c>
      <c r="H42" t="s">
        <v>22</v>
      </c>
      <c r="I42" t="s">
        <v>30</v>
      </c>
      <c r="J42" t="s">
        <v>60</v>
      </c>
      <c r="K42" t="s">
        <v>25</v>
      </c>
      <c r="L42" t="s">
        <v>26</v>
      </c>
      <c r="M42" s="5" t="s">
        <v>39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150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50</v>
      </c>
      <c r="K43" t="s">
        <v>25</v>
      </c>
      <c r="L43" t="s">
        <v>26</v>
      </c>
      <c r="M43" s="5" t="s">
        <v>151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126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97</v>
      </c>
      <c r="J44" t="s">
        <v>98</v>
      </c>
      <c r="K44" t="s">
        <v>25</v>
      </c>
      <c r="L44" t="s">
        <v>26</v>
      </c>
      <c r="M44" s="5" t="s">
        <v>54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127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46</v>
      </c>
      <c r="I45" t="s">
        <v>97</v>
      </c>
      <c r="J45" t="s">
        <v>98</v>
      </c>
      <c r="K45" t="s">
        <v>25</v>
      </c>
      <c r="L45" t="s">
        <v>26</v>
      </c>
      <c r="M45" s="5" t="s">
        <v>54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76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29</v>
      </c>
      <c r="H46" t="s">
        <v>22</v>
      </c>
      <c r="I46" t="s">
        <v>23</v>
      </c>
      <c r="J46" t="s">
        <v>70</v>
      </c>
      <c r="K46" t="s">
        <v>25</v>
      </c>
      <c r="L46" t="s">
        <v>26</v>
      </c>
      <c r="M46" s="5" t="s">
        <v>36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128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29</v>
      </c>
      <c r="H47" t="s">
        <v>46</v>
      </c>
      <c r="I47" t="s">
        <v>23</v>
      </c>
      <c r="J47" t="s">
        <v>50</v>
      </c>
      <c r="K47" t="s">
        <v>25</v>
      </c>
      <c r="L47" t="s">
        <v>26</v>
      </c>
      <c r="M47" s="5" t="s">
        <v>51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148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29</v>
      </c>
      <c r="H48" t="s">
        <v>22</v>
      </c>
      <c r="I48" t="s">
        <v>30</v>
      </c>
      <c r="J48" t="s">
        <v>31</v>
      </c>
      <c r="K48" t="s">
        <v>25</v>
      </c>
      <c r="L48" t="s">
        <v>26</v>
      </c>
      <c r="M48" s="5" t="s">
        <v>95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29</v>
      </c>
      <c r="H49" t="s">
        <v>22</v>
      </c>
      <c r="I49" t="s">
        <v>23</v>
      </c>
      <c r="J49" t="s">
        <v>50</v>
      </c>
      <c r="K49" t="s">
        <v>25</v>
      </c>
      <c r="L49" t="s">
        <v>26</v>
      </c>
      <c r="M49" s="5" t="s">
        <v>39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84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29</v>
      </c>
      <c r="H50" t="s">
        <v>22</v>
      </c>
      <c r="I50" t="s">
        <v>30</v>
      </c>
      <c r="J50" t="s">
        <v>38</v>
      </c>
      <c r="K50" t="s">
        <v>25</v>
      </c>
      <c r="L50" t="s">
        <v>26</v>
      </c>
      <c r="M50" s="5" t="s">
        <v>54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85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46</v>
      </c>
      <c r="I51" t="s">
        <v>30</v>
      </c>
      <c r="J51" t="s">
        <v>38</v>
      </c>
      <c r="K51" t="s">
        <v>25</v>
      </c>
      <c r="L51" t="s">
        <v>26</v>
      </c>
      <c r="M51" s="5" t="s">
        <v>54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29</v>
      </c>
      <c r="H52" t="s">
        <v>22</v>
      </c>
      <c r="I52" t="s">
        <v>47</v>
      </c>
      <c r="J52" t="s">
        <v>108</v>
      </c>
      <c r="K52" t="s">
        <v>25</v>
      </c>
      <c r="L52" t="s">
        <v>26</v>
      </c>
      <c r="M52" s="5" t="s">
        <v>43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77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70</v>
      </c>
      <c r="K53" t="s">
        <v>25</v>
      </c>
      <c r="L53" t="s">
        <v>26</v>
      </c>
      <c r="M53" s="5" t="s">
        <v>36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149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29</v>
      </c>
      <c r="H54" t="s">
        <v>46</v>
      </c>
      <c r="I54" t="s">
        <v>30</v>
      </c>
      <c r="J54" t="s">
        <v>38</v>
      </c>
      <c r="K54" t="s">
        <v>25</v>
      </c>
      <c r="L54" t="s">
        <v>26</v>
      </c>
      <c r="M54" s="5" t="s">
        <v>91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109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41</v>
      </c>
      <c r="J55" t="s">
        <v>42</v>
      </c>
      <c r="K55" t="s">
        <v>25</v>
      </c>
      <c r="L55" t="s">
        <v>26</v>
      </c>
      <c r="M55" s="5" t="s">
        <v>43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135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30</v>
      </c>
      <c r="J56" t="s">
        <v>38</v>
      </c>
      <c r="K56" t="s">
        <v>25</v>
      </c>
      <c r="L56" t="s">
        <v>26</v>
      </c>
      <c r="M56" s="5" t="s">
        <v>134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40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41</v>
      </c>
      <c r="J57" t="s">
        <v>42</v>
      </c>
      <c r="K57" t="s">
        <v>25</v>
      </c>
      <c r="L57" t="s">
        <v>26</v>
      </c>
      <c r="M57" s="5" t="s">
        <v>43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65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45</v>
      </c>
      <c r="H58" t="s">
        <v>22</v>
      </c>
      <c r="I58" t="s">
        <v>47</v>
      </c>
      <c r="J58" t="s">
        <v>66</v>
      </c>
      <c r="K58" t="s">
        <v>25</v>
      </c>
      <c r="L58" t="s">
        <v>26</v>
      </c>
      <c r="M58" s="5" t="s">
        <v>36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29</v>
      </c>
      <c r="H59" t="s">
        <v>22</v>
      </c>
      <c r="I59" t="s">
        <v>97</v>
      </c>
      <c r="J59" t="s">
        <v>98</v>
      </c>
      <c r="K59" t="s">
        <v>25</v>
      </c>
      <c r="L59" t="s">
        <v>26</v>
      </c>
      <c r="M59" s="5" t="s">
        <v>91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72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46</v>
      </c>
      <c r="I60" t="s">
        <v>23</v>
      </c>
      <c r="J60" t="s">
        <v>50</v>
      </c>
      <c r="K60" t="s">
        <v>25</v>
      </c>
      <c r="L60" t="s">
        <v>26</v>
      </c>
      <c r="M60" s="5" t="s">
        <v>63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29</v>
      </c>
      <c r="H61" t="s">
        <v>46</v>
      </c>
      <c r="I61" t="s">
        <v>47</v>
      </c>
      <c r="J61" t="s">
        <v>56</v>
      </c>
      <c r="K61" t="s">
        <v>25</v>
      </c>
      <c r="L61" t="s">
        <v>26</v>
      </c>
      <c r="M61" s="5" t="s">
        <v>51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110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46</v>
      </c>
      <c r="I62" t="s">
        <v>23</v>
      </c>
      <c r="J62" t="s">
        <v>70</v>
      </c>
      <c r="K62" t="s">
        <v>25</v>
      </c>
      <c r="L62" t="s">
        <v>26</v>
      </c>
      <c r="M62" s="5" t="s">
        <v>36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44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45</v>
      </c>
      <c r="H63" t="s">
        <v>46</v>
      </c>
      <c r="I63" t="s">
        <v>47</v>
      </c>
      <c r="J63" t="s">
        <v>48</v>
      </c>
      <c r="K63" t="s">
        <v>25</v>
      </c>
      <c r="L63" t="s">
        <v>26</v>
      </c>
      <c r="M63" s="5" t="s">
        <v>43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136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45</v>
      </c>
      <c r="H64" t="s">
        <v>22</v>
      </c>
      <c r="I64" t="s">
        <v>30</v>
      </c>
      <c r="J64" t="s">
        <v>31</v>
      </c>
      <c r="K64" t="s">
        <v>25</v>
      </c>
      <c r="L64" t="s">
        <v>26</v>
      </c>
      <c r="M64" s="5" t="s">
        <v>137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55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29</v>
      </c>
      <c r="H65" t="s">
        <v>46</v>
      </c>
      <c r="I65" t="s">
        <v>47</v>
      </c>
      <c r="J65" t="s">
        <v>56</v>
      </c>
      <c r="K65" t="s">
        <v>25</v>
      </c>
      <c r="L65" t="s">
        <v>26</v>
      </c>
      <c r="M65" s="5" t="s">
        <v>54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19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s="5" t="s">
        <v>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57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46</v>
      </c>
      <c r="I67" t="s">
        <v>23</v>
      </c>
      <c r="J67" t="s">
        <v>24</v>
      </c>
      <c r="K67" t="s">
        <v>25</v>
      </c>
      <c r="L67" t="s">
        <v>26</v>
      </c>
      <c r="M67" s="5" t="s">
        <v>54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58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50</v>
      </c>
      <c r="K68" t="s">
        <v>25</v>
      </c>
      <c r="L68" t="s">
        <v>26</v>
      </c>
      <c r="M68" s="5" t="s">
        <v>51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59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30</v>
      </c>
      <c r="J69" t="s">
        <v>60</v>
      </c>
      <c r="K69" t="s">
        <v>25</v>
      </c>
      <c r="L69" t="s">
        <v>26</v>
      </c>
      <c r="M69" s="5" t="s">
        <v>51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45</v>
      </c>
      <c r="H70" t="s">
        <v>46</v>
      </c>
      <c r="I70" t="s">
        <v>30</v>
      </c>
      <c r="J70" t="s">
        <v>144</v>
      </c>
      <c r="K70" t="s">
        <v>25</v>
      </c>
      <c r="L70" t="s">
        <v>26</v>
      </c>
      <c r="M70" s="5" t="s">
        <v>145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86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41</v>
      </c>
      <c r="J71" t="s">
        <v>87</v>
      </c>
      <c r="K71" t="s">
        <v>25</v>
      </c>
      <c r="L71" t="s">
        <v>26</v>
      </c>
      <c r="M71" s="5" t="s">
        <v>51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111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70</v>
      </c>
      <c r="K72" t="s">
        <v>25</v>
      </c>
      <c r="L72" t="s">
        <v>26</v>
      </c>
      <c r="M72" s="5" t="s">
        <v>36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28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29</v>
      </c>
      <c r="H73" t="s">
        <v>22</v>
      </c>
      <c r="I73" t="s">
        <v>30</v>
      </c>
      <c r="J73" t="s">
        <v>31</v>
      </c>
      <c r="K73" t="s">
        <v>25</v>
      </c>
      <c r="L73" t="s">
        <v>26</v>
      </c>
      <c r="M73" s="5" t="s">
        <v>32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61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46</v>
      </c>
      <c r="I74" t="s">
        <v>30</v>
      </c>
      <c r="J74" t="s">
        <v>60</v>
      </c>
      <c r="K74" t="s">
        <v>25</v>
      </c>
      <c r="L74" t="s">
        <v>26</v>
      </c>
      <c r="M74" s="5" t="s">
        <v>51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29</v>
      </c>
      <c r="H75" t="s">
        <v>46</v>
      </c>
      <c r="I75" t="s">
        <v>34</v>
      </c>
      <c r="J75" t="s">
        <v>35</v>
      </c>
      <c r="K75" t="s">
        <v>25</v>
      </c>
      <c r="L75" t="s">
        <v>26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112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30</v>
      </c>
      <c r="J76" t="s">
        <v>60</v>
      </c>
      <c r="K76" t="s">
        <v>25</v>
      </c>
      <c r="L76" t="s">
        <v>26</v>
      </c>
      <c r="M76" s="5" t="s">
        <v>36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113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46</v>
      </c>
      <c r="I77" t="s">
        <v>30</v>
      </c>
      <c r="J77" t="s">
        <v>31</v>
      </c>
      <c r="K77" t="s">
        <v>25</v>
      </c>
      <c r="L77" t="s">
        <v>26</v>
      </c>
      <c r="M77" s="5" t="s">
        <v>36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67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29</v>
      </c>
      <c r="H78" t="s">
        <v>46</v>
      </c>
      <c r="I78" t="s">
        <v>47</v>
      </c>
      <c r="J78" t="s">
        <v>68</v>
      </c>
      <c r="K78" t="s">
        <v>25</v>
      </c>
      <c r="L78" t="s">
        <v>26</v>
      </c>
      <c r="M78" s="5" t="s">
        <v>36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142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45</v>
      </c>
      <c r="H79" t="s">
        <v>46</v>
      </c>
      <c r="I79" t="s">
        <v>97</v>
      </c>
      <c r="J79" t="s">
        <v>98</v>
      </c>
      <c r="K79" t="s">
        <v>25</v>
      </c>
      <c r="L79" t="s">
        <v>26</v>
      </c>
      <c r="M79" s="5" t="s">
        <v>95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69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29</v>
      </c>
      <c r="H80" t="s">
        <v>22</v>
      </c>
      <c r="I80" t="s">
        <v>23</v>
      </c>
      <c r="J80" t="s">
        <v>70</v>
      </c>
      <c r="K80" t="s">
        <v>25</v>
      </c>
      <c r="L80" t="s">
        <v>26</v>
      </c>
      <c r="M80" s="5" t="s">
        <v>36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73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46</v>
      </c>
      <c r="I81" t="s">
        <v>23</v>
      </c>
      <c r="J81" t="s">
        <v>50</v>
      </c>
      <c r="K81" t="s">
        <v>25</v>
      </c>
      <c r="L81" t="s">
        <v>26</v>
      </c>
      <c r="M81" s="5" t="s">
        <v>63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152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45</v>
      </c>
      <c r="H82" t="s">
        <v>22</v>
      </c>
      <c r="I82" t="s">
        <v>30</v>
      </c>
      <c r="J82" t="s">
        <v>38</v>
      </c>
      <c r="K82" t="s">
        <v>25</v>
      </c>
      <c r="L82" t="s">
        <v>26</v>
      </c>
      <c r="M82" s="5" t="s">
        <v>134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130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29</v>
      </c>
      <c r="H83" t="s">
        <v>46</v>
      </c>
      <c r="I83" t="s">
        <v>47</v>
      </c>
      <c r="J83" t="s">
        <v>56</v>
      </c>
      <c r="K83" t="s">
        <v>25</v>
      </c>
      <c r="L83" t="s">
        <v>26</v>
      </c>
      <c r="M83" s="5" t="s">
        <v>54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131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29</v>
      </c>
      <c r="H84" t="s">
        <v>22</v>
      </c>
      <c r="I84" t="s">
        <v>34</v>
      </c>
      <c r="J84" t="s">
        <v>35</v>
      </c>
      <c r="K84" t="s">
        <v>25</v>
      </c>
      <c r="L84" t="s">
        <v>26</v>
      </c>
      <c r="M84" s="5" t="s">
        <v>51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114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46</v>
      </c>
      <c r="I85" t="s">
        <v>41</v>
      </c>
      <c r="J85" t="s">
        <v>87</v>
      </c>
      <c r="K85" t="s">
        <v>25</v>
      </c>
      <c r="L85" t="s">
        <v>26</v>
      </c>
      <c r="M85" s="5" t="s">
        <v>36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115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29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s="5" t="s">
        <v>39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132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29</v>
      </c>
      <c r="H87" t="s">
        <v>22</v>
      </c>
      <c r="I87" t="s">
        <v>34</v>
      </c>
      <c r="J87" t="s">
        <v>35</v>
      </c>
      <c r="K87" t="s">
        <v>25</v>
      </c>
      <c r="L87" t="s">
        <v>26</v>
      </c>
      <c r="M87" s="5" t="s">
        <v>63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50</v>
      </c>
      <c r="K88" t="s">
        <v>25</v>
      </c>
      <c r="L88" t="s">
        <v>26</v>
      </c>
      <c r="M88" s="5" t="s">
        <v>80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62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46</v>
      </c>
      <c r="I89" t="s">
        <v>30</v>
      </c>
      <c r="J89" t="s">
        <v>60</v>
      </c>
      <c r="K89" t="s">
        <v>25</v>
      </c>
      <c r="L89" t="s">
        <v>26</v>
      </c>
      <c r="M89" s="5" t="s">
        <v>63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5FC2-E7D5-4B5A-973E-68A4BA8A31B9}">
  <dimension ref="A3:I14"/>
  <sheetViews>
    <sheetView workbookViewId="0">
      <selection activeCell="E8" sqref="E8"/>
    </sheetView>
  </sheetViews>
  <sheetFormatPr defaultRowHeight="14.4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3.28515625" bestFit="1" customWidth="1"/>
    <col min="8" max="8" width="15.7109375" bestFit="1" customWidth="1"/>
    <col min="9" max="12" width="11.7109375" bestFit="1" customWidth="1"/>
  </cols>
  <sheetData>
    <row r="3" spans="1:9">
      <c r="A3" s="9" t="s">
        <v>174</v>
      </c>
      <c r="C3" s="9" t="s">
        <v>8</v>
      </c>
    </row>
    <row r="4" spans="1:9">
      <c r="A4" s="9" t="s">
        <v>6</v>
      </c>
      <c r="B4" s="9" t="s">
        <v>7</v>
      </c>
      <c r="C4" t="s">
        <v>30</v>
      </c>
      <c r="D4" t="s">
        <v>34</v>
      </c>
      <c r="E4" t="s">
        <v>47</v>
      </c>
      <c r="F4" t="s">
        <v>41</v>
      </c>
      <c r="G4" t="s">
        <v>23</v>
      </c>
      <c r="H4" t="s">
        <v>97</v>
      </c>
      <c r="I4" t="s">
        <v>162</v>
      </c>
    </row>
    <row r="5" spans="1:9">
      <c r="A5" t="s">
        <v>45</v>
      </c>
      <c r="B5" t="s">
        <v>22</v>
      </c>
      <c r="C5">
        <v>9</v>
      </c>
      <c r="D5">
        <v>0</v>
      </c>
      <c r="E5">
        <v>6</v>
      </c>
      <c r="F5">
        <v>0</v>
      </c>
      <c r="G5">
        <v>0</v>
      </c>
      <c r="H5">
        <v>1</v>
      </c>
      <c r="I5">
        <v>16</v>
      </c>
    </row>
    <row r="6" spans="1:9">
      <c r="B6" t="s">
        <v>46</v>
      </c>
      <c r="C6">
        <v>2</v>
      </c>
      <c r="D6">
        <v>0</v>
      </c>
      <c r="E6">
        <v>4</v>
      </c>
      <c r="F6">
        <v>0</v>
      </c>
      <c r="G6">
        <v>0</v>
      </c>
      <c r="H6">
        <v>5</v>
      </c>
      <c r="I6">
        <v>11</v>
      </c>
    </row>
    <row r="7" spans="1:9">
      <c r="A7" t="s">
        <v>175</v>
      </c>
      <c r="C7">
        <v>11</v>
      </c>
      <c r="D7">
        <v>0</v>
      </c>
      <c r="E7">
        <v>10</v>
      </c>
      <c r="F7">
        <v>0</v>
      </c>
      <c r="G7">
        <v>0</v>
      </c>
      <c r="H7">
        <v>6</v>
      </c>
      <c r="I7">
        <v>27</v>
      </c>
    </row>
    <row r="8" spans="1:9">
      <c r="A8" t="s">
        <v>29</v>
      </c>
      <c r="B8" t="s">
        <v>22</v>
      </c>
      <c r="C8">
        <v>17</v>
      </c>
      <c r="D8">
        <v>6</v>
      </c>
      <c r="E8">
        <v>1</v>
      </c>
      <c r="F8">
        <v>0</v>
      </c>
      <c r="G8">
        <v>10</v>
      </c>
      <c r="H8">
        <v>3</v>
      </c>
      <c r="I8">
        <v>37</v>
      </c>
    </row>
    <row r="9" spans="1:9">
      <c r="B9" t="s">
        <v>46</v>
      </c>
      <c r="C9">
        <v>3</v>
      </c>
      <c r="D9">
        <v>5</v>
      </c>
      <c r="E9">
        <v>9</v>
      </c>
      <c r="F9">
        <v>0</v>
      </c>
      <c r="G9">
        <v>6</v>
      </c>
      <c r="H9">
        <v>1</v>
      </c>
      <c r="I9">
        <v>24</v>
      </c>
    </row>
    <row r="10" spans="1:9">
      <c r="A10" t="s">
        <v>176</v>
      </c>
      <c r="C10">
        <v>20</v>
      </c>
      <c r="D10">
        <v>11</v>
      </c>
      <c r="E10">
        <v>10</v>
      </c>
      <c r="F10">
        <v>0</v>
      </c>
      <c r="G10">
        <v>16</v>
      </c>
      <c r="H10">
        <v>4</v>
      </c>
      <c r="I10">
        <v>61</v>
      </c>
    </row>
    <row r="11" spans="1:9">
      <c r="A11" t="s">
        <v>21</v>
      </c>
      <c r="B11" t="s">
        <v>22</v>
      </c>
      <c r="C11">
        <v>17</v>
      </c>
      <c r="D11">
        <v>0</v>
      </c>
      <c r="E11">
        <v>0</v>
      </c>
      <c r="F11">
        <v>8</v>
      </c>
      <c r="G11">
        <v>29</v>
      </c>
      <c r="H11">
        <v>1</v>
      </c>
      <c r="I11">
        <v>55</v>
      </c>
    </row>
    <row r="12" spans="1:9">
      <c r="B12" t="s">
        <v>46</v>
      </c>
      <c r="C12">
        <v>15</v>
      </c>
      <c r="D12">
        <v>0</v>
      </c>
      <c r="E12">
        <v>0</v>
      </c>
      <c r="F12">
        <v>5</v>
      </c>
      <c r="G12">
        <v>21</v>
      </c>
      <c r="H12">
        <v>3</v>
      </c>
      <c r="I12">
        <v>44</v>
      </c>
    </row>
    <row r="13" spans="1:9">
      <c r="A13" t="s">
        <v>177</v>
      </c>
      <c r="C13">
        <v>32</v>
      </c>
      <c r="D13">
        <v>0</v>
      </c>
      <c r="E13">
        <v>0</v>
      </c>
      <c r="F13">
        <v>13</v>
      </c>
      <c r="G13">
        <v>50</v>
      </c>
      <c r="H13">
        <v>4</v>
      </c>
      <c r="I13">
        <v>99</v>
      </c>
    </row>
    <row r="14" spans="1:9">
      <c r="A14" t="s">
        <v>162</v>
      </c>
      <c r="C14">
        <v>63</v>
      </c>
      <c r="D14">
        <v>11</v>
      </c>
      <c r="E14">
        <v>20</v>
      </c>
      <c r="F14">
        <v>13</v>
      </c>
      <c r="G14">
        <v>66</v>
      </c>
      <c r="H14">
        <v>14</v>
      </c>
      <c r="I14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D66D690C-CB78-4CA8-BF1C-B3A21C0966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2026-01-09T11:39:29Z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